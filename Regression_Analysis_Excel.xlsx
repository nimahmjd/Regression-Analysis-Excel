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D332F18F6CCD72C/ドキュメント/GITHUB FILES/"/>
    </mc:Choice>
  </mc:AlternateContent>
  <xr:revisionPtr revIDLastSave="6" documentId="8_{02F6B2A4-C0A1-4668-B5EF-57EABD6F4A15}" xr6:coauthVersionLast="47" xr6:coauthVersionMax="47" xr10:uidLastSave="{ED23EA40-DE86-4674-833E-C85E6B1BA7E6}"/>
  <bookViews>
    <workbookView xWindow="-108" yWindow="-108" windowWidth="23256" windowHeight="12456" activeTab="2" xr2:uid="{9CFAFA62-E6A8-4C06-9D9D-9036CAB8732A}"/>
  </bookViews>
  <sheets>
    <sheet name="REGRESSION OUTPUT" sheetId="3" r:id="rId1"/>
    <sheet name="DATA" sheetId="1" r:id="rId2"/>
    <sheet name="GRAPH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G3" i="1"/>
  <c r="H3" i="1"/>
  <c r="I3" i="1"/>
  <c r="J3" i="1"/>
  <c r="K3" i="1"/>
  <c r="L3" i="1"/>
  <c r="M3" i="1"/>
  <c r="N3" i="1"/>
  <c r="O3" i="1"/>
  <c r="P3" i="1"/>
  <c r="F4" i="1"/>
  <c r="G4" i="1"/>
  <c r="H4" i="1"/>
  <c r="I4" i="1"/>
  <c r="J4" i="1"/>
  <c r="K4" i="1"/>
  <c r="L4" i="1"/>
  <c r="M4" i="1"/>
  <c r="N4" i="1"/>
  <c r="O4" i="1"/>
  <c r="P4" i="1"/>
  <c r="F5" i="1"/>
  <c r="G5" i="1"/>
  <c r="H5" i="1"/>
  <c r="I5" i="1"/>
  <c r="J5" i="1"/>
  <c r="K5" i="1"/>
  <c r="L5" i="1"/>
  <c r="M5" i="1"/>
  <c r="N5" i="1"/>
  <c r="O5" i="1"/>
  <c r="P5" i="1"/>
  <c r="F6" i="1"/>
  <c r="G6" i="1"/>
  <c r="H6" i="1"/>
  <c r="I6" i="1"/>
  <c r="J6" i="1"/>
  <c r="K6" i="1"/>
  <c r="L6" i="1"/>
  <c r="M6" i="1"/>
  <c r="N6" i="1"/>
  <c r="O6" i="1"/>
  <c r="P6" i="1"/>
  <c r="F7" i="1"/>
  <c r="G7" i="1"/>
  <c r="H7" i="1"/>
  <c r="I7" i="1"/>
  <c r="J7" i="1"/>
  <c r="K7" i="1"/>
  <c r="L7" i="1"/>
  <c r="M7" i="1"/>
  <c r="N7" i="1"/>
  <c r="O7" i="1"/>
  <c r="P7" i="1"/>
  <c r="F8" i="1"/>
  <c r="G8" i="1"/>
  <c r="H8" i="1"/>
  <c r="I8" i="1"/>
  <c r="J8" i="1"/>
  <c r="K8" i="1"/>
  <c r="L8" i="1"/>
  <c r="M8" i="1"/>
  <c r="N8" i="1"/>
  <c r="O8" i="1"/>
  <c r="P8" i="1"/>
  <c r="F9" i="1"/>
  <c r="G9" i="1"/>
  <c r="H9" i="1"/>
  <c r="I9" i="1"/>
  <c r="J9" i="1"/>
  <c r="K9" i="1"/>
  <c r="L9" i="1"/>
  <c r="M9" i="1"/>
  <c r="N9" i="1"/>
  <c r="O9" i="1"/>
  <c r="P9" i="1"/>
  <c r="F10" i="1"/>
  <c r="G10" i="1"/>
  <c r="H10" i="1"/>
  <c r="I10" i="1"/>
  <c r="J10" i="1"/>
  <c r="K10" i="1"/>
  <c r="L10" i="1"/>
  <c r="M10" i="1"/>
  <c r="N10" i="1"/>
  <c r="O10" i="1"/>
  <c r="P10" i="1"/>
  <c r="F11" i="1"/>
  <c r="G11" i="1"/>
  <c r="H11" i="1"/>
  <c r="I11" i="1"/>
  <c r="J11" i="1"/>
  <c r="K11" i="1"/>
  <c r="L11" i="1"/>
  <c r="M11" i="1"/>
  <c r="N11" i="1"/>
  <c r="O11" i="1"/>
  <c r="P11" i="1"/>
  <c r="F12" i="1"/>
  <c r="G12" i="1"/>
  <c r="H12" i="1"/>
  <c r="I12" i="1"/>
  <c r="J12" i="1"/>
  <c r="K12" i="1"/>
  <c r="L12" i="1"/>
  <c r="M12" i="1"/>
  <c r="N12" i="1"/>
  <c r="O12" i="1"/>
  <c r="P12" i="1"/>
  <c r="F13" i="1"/>
  <c r="G13" i="1"/>
  <c r="H13" i="1"/>
  <c r="I13" i="1"/>
  <c r="J13" i="1"/>
  <c r="K13" i="1"/>
  <c r="L13" i="1"/>
  <c r="M13" i="1"/>
  <c r="N13" i="1"/>
  <c r="O13" i="1"/>
  <c r="P13" i="1"/>
  <c r="F14" i="1"/>
  <c r="G14" i="1"/>
  <c r="H14" i="1"/>
  <c r="I14" i="1"/>
  <c r="J14" i="1"/>
  <c r="K14" i="1"/>
  <c r="L14" i="1"/>
  <c r="M14" i="1"/>
  <c r="N14" i="1"/>
  <c r="O14" i="1"/>
  <c r="P14" i="1"/>
  <c r="F15" i="1"/>
  <c r="G15" i="1"/>
  <c r="H15" i="1"/>
  <c r="I15" i="1"/>
  <c r="J15" i="1"/>
  <c r="K15" i="1"/>
  <c r="L15" i="1"/>
  <c r="M15" i="1"/>
  <c r="N15" i="1"/>
  <c r="O15" i="1"/>
  <c r="P15" i="1"/>
  <c r="F16" i="1"/>
  <c r="G16" i="1"/>
  <c r="H16" i="1"/>
  <c r="I16" i="1"/>
  <c r="J16" i="1"/>
  <c r="K16" i="1"/>
  <c r="L16" i="1"/>
  <c r="M16" i="1"/>
  <c r="N16" i="1"/>
  <c r="O16" i="1"/>
  <c r="P16" i="1"/>
  <c r="F17" i="1"/>
  <c r="G17" i="1"/>
  <c r="H17" i="1"/>
  <c r="I17" i="1"/>
  <c r="J17" i="1"/>
  <c r="K17" i="1"/>
  <c r="L17" i="1"/>
  <c r="M17" i="1"/>
  <c r="N17" i="1"/>
  <c r="O17" i="1"/>
  <c r="P17" i="1"/>
  <c r="F18" i="1"/>
  <c r="G18" i="1"/>
  <c r="H18" i="1"/>
  <c r="I18" i="1"/>
  <c r="J18" i="1"/>
  <c r="K18" i="1"/>
  <c r="L18" i="1"/>
  <c r="M18" i="1"/>
  <c r="N18" i="1"/>
  <c r="O18" i="1"/>
  <c r="P18" i="1"/>
  <c r="F19" i="1"/>
  <c r="G19" i="1"/>
  <c r="H19" i="1"/>
  <c r="I19" i="1"/>
  <c r="J19" i="1"/>
  <c r="K19" i="1"/>
  <c r="L19" i="1"/>
  <c r="M19" i="1"/>
  <c r="N19" i="1"/>
  <c r="O19" i="1"/>
  <c r="P19" i="1"/>
  <c r="F20" i="1"/>
  <c r="G20" i="1"/>
  <c r="H20" i="1"/>
  <c r="I20" i="1"/>
  <c r="J20" i="1"/>
  <c r="K20" i="1"/>
  <c r="L20" i="1"/>
  <c r="M20" i="1"/>
  <c r="N20" i="1"/>
  <c r="O20" i="1"/>
  <c r="P20" i="1"/>
  <c r="F21" i="1"/>
  <c r="G21" i="1"/>
  <c r="H21" i="1"/>
  <c r="I21" i="1"/>
  <c r="J21" i="1"/>
  <c r="K21" i="1"/>
  <c r="L21" i="1"/>
  <c r="M21" i="1"/>
  <c r="N21" i="1"/>
  <c r="O21" i="1"/>
  <c r="P21" i="1"/>
  <c r="F22" i="1"/>
  <c r="G22" i="1"/>
  <c r="H22" i="1"/>
  <c r="I22" i="1"/>
  <c r="J22" i="1"/>
  <c r="K22" i="1"/>
  <c r="L22" i="1"/>
  <c r="M22" i="1"/>
  <c r="N22" i="1"/>
  <c r="O22" i="1"/>
  <c r="P22" i="1"/>
  <c r="F23" i="1"/>
  <c r="G23" i="1"/>
  <c r="H23" i="1"/>
  <c r="I23" i="1"/>
  <c r="J23" i="1"/>
  <c r="K23" i="1"/>
  <c r="L23" i="1"/>
  <c r="M23" i="1"/>
  <c r="N23" i="1"/>
  <c r="O23" i="1"/>
  <c r="P23" i="1"/>
  <c r="F24" i="1"/>
  <c r="G24" i="1"/>
  <c r="H24" i="1"/>
  <c r="I24" i="1"/>
  <c r="J24" i="1"/>
  <c r="K24" i="1"/>
  <c r="L24" i="1"/>
  <c r="M24" i="1"/>
  <c r="N24" i="1"/>
  <c r="O24" i="1"/>
  <c r="P24" i="1"/>
  <c r="F25" i="1"/>
  <c r="G25" i="1"/>
  <c r="H25" i="1"/>
  <c r="I25" i="1"/>
  <c r="J25" i="1"/>
  <c r="K25" i="1"/>
  <c r="L25" i="1"/>
  <c r="M25" i="1"/>
  <c r="N25" i="1"/>
  <c r="O25" i="1"/>
  <c r="P25" i="1"/>
  <c r="F26" i="1"/>
  <c r="G26" i="1"/>
  <c r="H26" i="1"/>
  <c r="I26" i="1"/>
  <c r="J26" i="1"/>
  <c r="K26" i="1"/>
  <c r="L26" i="1"/>
  <c r="M26" i="1"/>
  <c r="N26" i="1"/>
  <c r="O26" i="1"/>
  <c r="P26" i="1"/>
  <c r="F27" i="1"/>
  <c r="G27" i="1"/>
  <c r="H27" i="1"/>
  <c r="I27" i="1"/>
  <c r="J27" i="1"/>
  <c r="K27" i="1"/>
  <c r="L27" i="1"/>
  <c r="M27" i="1"/>
  <c r="N27" i="1"/>
  <c r="O27" i="1"/>
  <c r="P27" i="1"/>
  <c r="F28" i="1"/>
  <c r="G28" i="1"/>
  <c r="H28" i="1"/>
  <c r="I28" i="1"/>
  <c r="J28" i="1"/>
  <c r="K28" i="1"/>
  <c r="L28" i="1"/>
  <c r="M28" i="1"/>
  <c r="N28" i="1"/>
  <c r="O28" i="1"/>
  <c r="P28" i="1"/>
  <c r="F29" i="1"/>
  <c r="G29" i="1"/>
  <c r="H29" i="1"/>
  <c r="I29" i="1"/>
  <c r="J29" i="1"/>
  <c r="K29" i="1"/>
  <c r="L29" i="1"/>
  <c r="M29" i="1"/>
  <c r="N29" i="1"/>
  <c r="O29" i="1"/>
  <c r="P29" i="1"/>
  <c r="F30" i="1"/>
  <c r="G30" i="1"/>
  <c r="H30" i="1"/>
  <c r="I30" i="1"/>
  <c r="J30" i="1"/>
  <c r="K30" i="1"/>
  <c r="L30" i="1"/>
  <c r="M30" i="1"/>
  <c r="N30" i="1"/>
  <c r="O30" i="1"/>
  <c r="P30" i="1"/>
  <c r="F31" i="1"/>
  <c r="G31" i="1"/>
  <c r="H31" i="1"/>
  <c r="I31" i="1"/>
  <c r="J31" i="1"/>
  <c r="K31" i="1"/>
  <c r="L31" i="1"/>
  <c r="M31" i="1"/>
  <c r="N31" i="1"/>
  <c r="O31" i="1"/>
  <c r="P31" i="1"/>
  <c r="F32" i="1"/>
  <c r="G32" i="1"/>
  <c r="H32" i="1"/>
  <c r="I32" i="1"/>
  <c r="J32" i="1"/>
  <c r="K32" i="1"/>
  <c r="L32" i="1"/>
  <c r="M32" i="1"/>
  <c r="N32" i="1"/>
  <c r="O32" i="1"/>
  <c r="P32" i="1"/>
  <c r="F33" i="1"/>
  <c r="G33" i="1"/>
  <c r="H33" i="1"/>
  <c r="I33" i="1"/>
  <c r="J33" i="1"/>
  <c r="K33" i="1"/>
  <c r="L33" i="1"/>
  <c r="M33" i="1"/>
  <c r="N33" i="1"/>
  <c r="O33" i="1"/>
  <c r="P33" i="1"/>
  <c r="F34" i="1"/>
  <c r="G34" i="1"/>
  <c r="H34" i="1"/>
  <c r="I34" i="1"/>
  <c r="J34" i="1"/>
  <c r="K34" i="1"/>
  <c r="L34" i="1"/>
  <c r="M34" i="1"/>
  <c r="N34" i="1"/>
  <c r="O34" i="1"/>
  <c r="P34" i="1"/>
  <c r="F35" i="1"/>
  <c r="G35" i="1"/>
  <c r="H35" i="1"/>
  <c r="I35" i="1"/>
  <c r="J35" i="1"/>
  <c r="K35" i="1"/>
  <c r="L35" i="1"/>
  <c r="M35" i="1"/>
  <c r="N35" i="1"/>
  <c r="O35" i="1"/>
  <c r="P35" i="1"/>
  <c r="F36" i="1"/>
  <c r="G36" i="1"/>
  <c r="H36" i="1"/>
  <c r="I36" i="1"/>
  <c r="J36" i="1"/>
  <c r="K36" i="1"/>
  <c r="L36" i="1"/>
  <c r="M36" i="1"/>
  <c r="N36" i="1"/>
  <c r="O36" i="1"/>
  <c r="P36" i="1"/>
  <c r="F37" i="1"/>
  <c r="G37" i="1"/>
  <c r="H37" i="1"/>
  <c r="I37" i="1"/>
  <c r="J37" i="1"/>
  <c r="K37" i="1"/>
  <c r="L37" i="1"/>
  <c r="M37" i="1"/>
  <c r="N37" i="1"/>
  <c r="O37" i="1"/>
  <c r="P37" i="1"/>
  <c r="G2" i="1"/>
  <c r="H2" i="1"/>
  <c r="I2" i="1"/>
  <c r="J2" i="1"/>
  <c r="K2" i="1"/>
  <c r="L2" i="1"/>
  <c r="M2" i="1"/>
  <c r="N2" i="1"/>
  <c r="O2" i="1"/>
  <c r="P2" i="1"/>
  <c r="F2" i="1"/>
  <c r="D34" i="1" l="1"/>
  <c r="D22" i="1"/>
  <c r="D10" i="1"/>
  <c r="D30" i="1"/>
  <c r="D18" i="1"/>
  <c r="D6" i="1"/>
  <c r="D2" i="1"/>
  <c r="D16" i="1"/>
  <c r="D29" i="1"/>
  <c r="D5" i="1"/>
  <c r="D31" i="1"/>
  <c r="D19" i="1"/>
  <c r="D7" i="1"/>
  <c r="D32" i="1"/>
  <c r="D20" i="1"/>
  <c r="D8" i="1"/>
  <c r="D28" i="1"/>
  <c r="D4" i="1"/>
  <c r="D17" i="1"/>
  <c r="D33" i="1"/>
  <c r="D21" i="1"/>
  <c r="D9" i="1"/>
  <c r="D23" i="1"/>
  <c r="D11" i="1"/>
  <c r="D36" i="1"/>
  <c r="D24" i="1"/>
  <c r="D12" i="1"/>
  <c r="D35" i="1"/>
  <c r="D37" i="1"/>
  <c r="D25" i="1"/>
  <c r="D13" i="1"/>
  <c r="D26" i="1"/>
  <c r="D14" i="1"/>
  <c r="D27" i="1"/>
  <c r="D15" i="1"/>
  <c r="D3" i="1"/>
</calcChain>
</file>

<file path=xl/sharedStrings.xml><?xml version="1.0" encoding="utf-8"?>
<sst xmlns="http://schemas.openxmlformats.org/spreadsheetml/2006/main" count="95" uniqueCount="45">
  <si>
    <t>PERIOD</t>
  </si>
  <si>
    <t>MONTH</t>
  </si>
  <si>
    <t>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</si>
  <si>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</si>
  <si>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</si>
  <si>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</si>
  <si>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</si>
  <si>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</si>
  <si>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</si>
  <si>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</si>
  <si>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</si>
  <si>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</si>
  <si>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</si>
  <si>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</si>
  <si>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</si>
  <si>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</si>
  <si>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</si>
  <si>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</si>
  <si>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</si>
  <si>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</si>
  <si>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</si>
  <si>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</si>
  <si>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</si>
  <si>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</si>
  <si>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</si>
  <si>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</si>
  <si>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</si>
  <si>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</si>
  <si>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</si>
  <si>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</si>
  <si>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</si>
  <si>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</si>
  <si>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</si>
  <si>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</si>
  <si>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</si>
  <si>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</si>
  <si>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</si>
  <si>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</si>
  <si>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</si>
  <si>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</si>
  <si>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</si>
  <si>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</si>
  <si>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SALES</t>
  </si>
  <si>
    <t>Residuals</t>
  </si>
  <si>
    <t>FORECASTED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</si>
</sst>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/>
    </xf>
    <xf numFmtId="17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Continuous"/>
    </xf>
    <xf numFmtId="1" fontId="0" fillId="0" borderId="1" xfId="0" applyNumberFormat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SALES</a:t>
            </a:r>
            <a:r>
              <a:rPr lang="en-IN" b="1" baseline="0"/>
              <a:t> AND FORECASTED SALES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DATA!$C$2:$C$37</c:f>
              <c:numCache>
                <c:formatCode>General</c:formatCode>
                <c:ptCount val="36"/>
                <c:pt idx="0">
                  <c:v>20570</c:v>
                </c:pt>
                <c:pt idx="1">
                  <c:v>28754</c:v>
                </c:pt>
                <c:pt idx="2">
                  <c:v>24327</c:v>
                </c:pt>
                <c:pt idx="3">
                  <c:v>26036</c:v>
                </c:pt>
                <c:pt idx="4">
                  <c:v>24576</c:v>
                </c:pt>
                <c:pt idx="5">
                  <c:v>26167</c:v>
                </c:pt>
                <c:pt idx="6">
                  <c:v>27606</c:v>
                </c:pt>
                <c:pt idx="7">
                  <c:v>29731</c:v>
                </c:pt>
                <c:pt idx="8">
                  <c:v>23467</c:v>
                </c:pt>
                <c:pt idx="9">
                  <c:v>22742</c:v>
                </c:pt>
                <c:pt idx="10">
                  <c:v>20520</c:v>
                </c:pt>
                <c:pt idx="11">
                  <c:v>26804</c:v>
                </c:pt>
                <c:pt idx="12">
                  <c:v>23898</c:v>
                </c:pt>
                <c:pt idx="13">
                  <c:v>23361</c:v>
                </c:pt>
                <c:pt idx="14">
                  <c:v>22844</c:v>
                </c:pt>
                <c:pt idx="15">
                  <c:v>29421</c:v>
                </c:pt>
                <c:pt idx="16">
                  <c:v>28997</c:v>
                </c:pt>
                <c:pt idx="17">
                  <c:v>25571</c:v>
                </c:pt>
                <c:pt idx="18">
                  <c:v>22601</c:v>
                </c:pt>
                <c:pt idx="19">
                  <c:v>25480</c:v>
                </c:pt>
                <c:pt idx="20">
                  <c:v>21309</c:v>
                </c:pt>
                <c:pt idx="21">
                  <c:v>22852</c:v>
                </c:pt>
                <c:pt idx="22">
                  <c:v>24077</c:v>
                </c:pt>
                <c:pt idx="23">
                  <c:v>24989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32-4807-9CC4-0788B4AA3365}"/>
            </c:ext>
          </c:extLst>
        </c:ser>
        <c:ser>
          <c:idx val="1"/>
          <c:order val="1"/>
          <c:tx>
            <c:strRef>
              <c:f>DATA!$D$1</c:f>
              <c:strCache>
                <c:ptCount val="1"/>
                <c:pt idx="0">
                  <c:v>FORECASTED SALES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DATA!$D$2:$D$37</c:f>
              <c:numCache>
                <c:formatCode>0</c:formatCode>
                <c:ptCount val="36"/>
                <c:pt idx="0">
                  <c:v>22479.833333333328</c:v>
                </c:pt>
                <c:pt idx="1">
                  <c:v>26303.333333333328</c:v>
                </c:pt>
                <c:pt idx="2">
                  <c:v>23831.333333333325</c:v>
                </c:pt>
                <c:pt idx="3">
                  <c:v>27974.333333333328</c:v>
                </c:pt>
                <c:pt idx="4">
                  <c:v>27032.333333333328</c:v>
                </c:pt>
                <c:pt idx="5">
                  <c:v>26114.833333333328</c:v>
                </c:pt>
                <c:pt idx="6">
                  <c:v>25349.333333333328</c:v>
                </c:pt>
                <c:pt idx="7">
                  <c:v>27851.333333333328</c:v>
                </c:pt>
                <c:pt idx="8">
                  <c:v>22633.833333333328</c:v>
                </c:pt>
                <c:pt idx="9">
                  <c:v>23042.833333333328</c:v>
                </c:pt>
                <c:pt idx="10">
                  <c:v>22544.333333333328</c:v>
                </c:pt>
                <c:pt idx="11">
                  <c:v>26142.333333333328</c:v>
                </c:pt>
                <c:pt idx="12">
                  <c:v>21988.166666666661</c:v>
                </c:pt>
                <c:pt idx="13">
                  <c:v>25811.666666666661</c:v>
                </c:pt>
                <c:pt idx="14">
                  <c:v>23339.666666666657</c:v>
                </c:pt>
                <c:pt idx="15">
                  <c:v>27482.666666666661</c:v>
                </c:pt>
                <c:pt idx="16">
                  <c:v>26540.666666666661</c:v>
                </c:pt>
                <c:pt idx="17">
                  <c:v>25623.166666666661</c:v>
                </c:pt>
                <c:pt idx="18">
                  <c:v>24857.666666666661</c:v>
                </c:pt>
                <c:pt idx="19">
                  <c:v>27359.666666666661</c:v>
                </c:pt>
                <c:pt idx="20">
                  <c:v>22142.166666666661</c:v>
                </c:pt>
                <c:pt idx="21">
                  <c:v>22551.166666666661</c:v>
                </c:pt>
                <c:pt idx="22">
                  <c:v>22052.666666666661</c:v>
                </c:pt>
                <c:pt idx="23">
                  <c:v>25650.666666666661</c:v>
                </c:pt>
                <c:pt idx="24">
                  <c:v>21496.499999999993</c:v>
                </c:pt>
                <c:pt idx="25">
                  <c:v>25319.999999999993</c:v>
                </c:pt>
                <c:pt idx="26">
                  <c:v>22847.999999999993</c:v>
                </c:pt>
                <c:pt idx="27">
                  <c:v>26990.999999999993</c:v>
                </c:pt>
                <c:pt idx="28">
                  <c:v>26048.999999999993</c:v>
                </c:pt>
                <c:pt idx="29">
                  <c:v>25131.499999999993</c:v>
                </c:pt>
                <c:pt idx="30">
                  <c:v>24365.999999999993</c:v>
                </c:pt>
                <c:pt idx="31">
                  <c:v>26867.999999999993</c:v>
                </c:pt>
                <c:pt idx="32">
                  <c:v>21650.499999999993</c:v>
                </c:pt>
                <c:pt idx="33">
                  <c:v>22059.499999999993</c:v>
                </c:pt>
                <c:pt idx="34">
                  <c:v>21560.999999999993</c:v>
                </c:pt>
                <c:pt idx="35">
                  <c:v>25158.999999999993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32-4807-9CC4-0788B4AA33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6751744"/>
        <c:axId val="1726750304"/>
      </c:lineChart>
      <c:catAx>
        <c:axId val="17267517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6750304"/>
        <c:crosses val="autoZero"/>
        <c:auto val="1"/>
        <c:lblAlgn val="ctr"/>
        <c:lblOffset val="100"/>
        <c:noMultiLvlLbl val="0"/>
      </c:catAx>
      <c:valAx>
        <c:axId val="1726750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6751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83820</xdr:colOff>
      <xdr:row>2</xdr:row>
      <xdr:rowOff>83820</xdr:rowOff>
    </xdr:from>
    <xdr:to>
      <xdr:col>16</xdr:col>
      <xdr:colOff>449580</xdr:colOff>
      <xdr:row>26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EB1F2F-5916-43EC-8F31-4BC1714841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28E3-B359-425B-8D82-9A860C65499F}">
  <dimension ref="A1:I59"/>
  <sheetViews>
    <sheetView topLeftCell="A2" workbookViewId="0">
      <selection activeCell="B35" sqref="B35:C59"/>
    </sheetView>
  </sheetViews>
  <sheetFormatPr defaultRowHeight="14.4" x14ac:dyDescent="0.3"/>
  <cols>
    <col min="1" max="1" width="17.44140625" bestFit="1" customWidth="1"/>
    <col min="2" max="2" width="14.5546875" bestFit="1" customWidth="1"/>
    <col min="3" max="3" width="13.44140625" bestFit="1" customWidth="1"/>
    <col min="6" max="6" width="12.6640625" bestFit="1" customWidth="1"/>
    <col min="7" max="7" width="12" bestFit="1" customWidth="1"/>
    <col min="8" max="8" width="12.6640625" bestFit="1" customWidth="1"/>
    <col min="9" max="9" width="12.109375" bestFit="1" customWidth="1"/>
  </cols>
  <sheetData>
    <row r="1" spans="1:9" x14ac:dyDescent="0.3">
      <c r="A1" t="s">
        <v>16</v>
      </c>
    </row>
    <row r="2" spans="1:9" ht="15" thickBot="1" x14ac:dyDescent="0.35"/>
    <row r="3" spans="1:9" x14ac:dyDescent="0.3">
      <c r="A3" s="7" t="s">
        <v>17</v>
      </c>
      <c r="B3" s="7"/>
    </row>
    <row r="4" spans="1:9" x14ac:dyDescent="0.3">
      <c r="A4" t="s">
        <v>18</v>
      </c>
      <c r="B4">
        <v>0.77078298215796748</v>
      </c>
    </row>
    <row r="5" spans="1:9" x14ac:dyDescent="0.3">
      <c r="A5" t="s">
        <v>19</v>
      </c>
      <c r="B5">
        <v>0.59410640558432959</v>
      </c>
    </row>
    <row r="6" spans="1:9" x14ac:dyDescent="0.3">
      <c r="A6" t="s">
        <v>20</v>
      </c>
      <c r="B6">
        <v>0.15131339349450731</v>
      </c>
    </row>
    <row r="7" spans="1:9" x14ac:dyDescent="0.3">
      <c r="A7" t="s">
        <v>21</v>
      </c>
      <c r="B7">
        <v>2473.0707326085212</v>
      </c>
    </row>
    <row r="8" spans="1:9" ht="15" thickBot="1" x14ac:dyDescent="0.35">
      <c r="A8" s="5" t="s">
        <v>22</v>
      </c>
      <c r="B8" s="5">
        <v>24</v>
      </c>
    </row>
    <row r="10" spans="1:9" ht="15" thickBot="1" x14ac:dyDescent="0.35">
      <c r="A10" t="s">
        <v>23</v>
      </c>
    </row>
    <row r="11" spans="1:9" x14ac:dyDescent="0.3">
      <c r="A11" s="6"/>
      <c r="B11" s="6" t="s">
        <v>28</v>
      </c>
      <c r="C11" s="6" t="s">
        <v>29</v>
      </c>
      <c r="D11" s="6" t="s">
        <v>30</v>
      </c>
      <c r="E11" s="6" t="s">
        <v>31</v>
      </c>
      <c r="F11" s="6" t="s">
        <v>32</v>
      </c>
    </row>
    <row r="12" spans="1:9" x14ac:dyDescent="0.3">
      <c r="A12" t="s">
        <v>24</v>
      </c>
      <c r="B12">
        <v>12</v>
      </c>
      <c r="C12">
        <v>98473142.666666687</v>
      </c>
      <c r="D12">
        <v>8206095.2222222239</v>
      </c>
      <c r="E12">
        <v>1.3417248903282439</v>
      </c>
      <c r="F12">
        <v>0.31677808688415826</v>
      </c>
    </row>
    <row r="13" spans="1:9" x14ac:dyDescent="0.3">
      <c r="A13" t="s">
        <v>25</v>
      </c>
      <c r="B13">
        <v>11</v>
      </c>
      <c r="C13">
        <v>67276867.333333313</v>
      </c>
      <c r="D13">
        <v>6116078.8484848468</v>
      </c>
    </row>
    <row r="14" spans="1:9" ht="15" thickBot="1" x14ac:dyDescent="0.35">
      <c r="A14" s="5" t="s">
        <v>26</v>
      </c>
      <c r="B14" s="5">
        <v>23</v>
      </c>
      <c r="C14" s="5">
        <v>165750010</v>
      </c>
      <c r="D14" s="5"/>
      <c r="E14" s="5"/>
      <c r="F14" s="5"/>
    </row>
    <row r="15" spans="1:9" ht="15" thickBot="1" x14ac:dyDescent="0.35"/>
    <row r="16" spans="1:9" x14ac:dyDescent="0.3">
      <c r="A16" s="6"/>
      <c r="B16" s="6" t="s">
        <v>33</v>
      </c>
      <c r="C16" s="6" t="s">
        <v>21</v>
      </c>
      <c r="D16" s="6" t="s">
        <v>34</v>
      </c>
      <c r="E16" s="6" t="s">
        <v>35</v>
      </c>
      <c r="F16" s="6" t="s">
        <v>36</v>
      </c>
      <c r="G16" s="6" t="s">
        <v>37</v>
      </c>
      <c r="H16" s="6" t="s">
        <v>38</v>
      </c>
      <c r="I16" s="6" t="s">
        <v>39</v>
      </c>
    </row>
    <row r="17" spans="1:9" x14ac:dyDescent="0.3">
      <c r="A17" t="s">
        <v>27</v>
      </c>
      <c r="B17">
        <v>26633.999999999996</v>
      </c>
      <c r="C17">
        <v>2313.3458436697792</v>
      </c>
      <c r="D17">
        <v>11.513194221642673</v>
      </c>
      <c r="E17">
        <v>1.7784585126609985E-7</v>
      </c>
      <c r="F17">
        <v>21542.360127923141</v>
      </c>
      <c r="G17">
        <v>31725.639872076852</v>
      </c>
      <c r="H17">
        <v>21542.360127923141</v>
      </c>
      <c r="I17">
        <v>31725.639872076852</v>
      </c>
    </row>
    <row r="18" spans="1:9" x14ac:dyDescent="0.3">
      <c r="A18" t="s">
        <v>15</v>
      </c>
      <c r="B18">
        <v>-40.972222222222285</v>
      </c>
      <c r="C18">
        <v>84.135574898636833</v>
      </c>
      <c r="D18">
        <v>-0.48697857323235716</v>
      </c>
      <c r="E18">
        <v>0.635832145790722</v>
      </c>
      <c r="F18">
        <v>-226.15337400990052</v>
      </c>
      <c r="G18">
        <v>144.20892956545595</v>
      </c>
      <c r="H18">
        <v>-226.15337400990052</v>
      </c>
      <c r="I18">
        <v>144.20892956545595</v>
      </c>
    </row>
    <row r="19" spans="1:9" x14ac:dyDescent="0.3">
      <c r="A19" t="s">
        <v>3</v>
      </c>
      <c r="B19">
        <v>-4113.1944444444462</v>
      </c>
      <c r="C19">
        <v>2640.5705896777804</v>
      </c>
      <c r="D19">
        <v>-1.5576915309604977</v>
      </c>
      <c r="E19">
        <v>0.14759326290266661</v>
      </c>
      <c r="F19">
        <v>-9925.0511264996676</v>
      </c>
      <c r="G19">
        <v>1698.6622376107753</v>
      </c>
      <c r="H19">
        <v>-9925.0511264996676</v>
      </c>
      <c r="I19">
        <v>1698.6622376107753</v>
      </c>
    </row>
    <row r="20" spans="1:9" x14ac:dyDescent="0.3">
      <c r="A20" t="s">
        <v>4</v>
      </c>
      <c r="B20">
        <v>-248.72222222222445</v>
      </c>
      <c r="C20">
        <v>2612.2707257934171</v>
      </c>
      <c r="D20">
        <v>-9.5213034302438465E-2</v>
      </c>
      <c r="E20">
        <v>0.92585798022722399</v>
      </c>
      <c r="F20">
        <v>-5998.2913238353485</v>
      </c>
      <c r="G20">
        <v>5500.8468793908996</v>
      </c>
      <c r="H20">
        <v>-5998.2913238353485</v>
      </c>
      <c r="I20">
        <v>5500.8468793908996</v>
      </c>
    </row>
    <row r="21" spans="1:9" x14ac:dyDescent="0.3">
      <c r="A21" t="s">
        <v>5</v>
      </c>
      <c r="B21">
        <v>-2679.7500000000032</v>
      </c>
      <c r="C21">
        <v>2586.3992809561141</v>
      </c>
      <c r="D21">
        <v>-1.0360929264600554</v>
      </c>
      <c r="E21">
        <v>0.3223992352992463</v>
      </c>
      <c r="F21">
        <v>-8372.3764354560935</v>
      </c>
      <c r="G21">
        <v>3012.8764354560876</v>
      </c>
      <c r="H21">
        <v>-8372.3764354560935</v>
      </c>
      <c r="I21">
        <v>3012.8764354560876</v>
      </c>
    </row>
    <row r="22" spans="1:9" x14ac:dyDescent="0.3">
      <c r="A22" t="s">
        <v>6</v>
      </c>
      <c r="B22">
        <v>1504.2222222222204</v>
      </c>
      <c r="C22">
        <v>2563.0297942377474</v>
      </c>
      <c r="D22">
        <v>0.58689221077493581</v>
      </c>
      <c r="E22">
        <v>0.56912543237964508</v>
      </c>
      <c r="F22">
        <v>-4136.9683197677878</v>
      </c>
      <c r="G22">
        <v>7145.4127642122276</v>
      </c>
      <c r="H22">
        <v>-4136.9683197677878</v>
      </c>
      <c r="I22">
        <v>7145.4127642122276</v>
      </c>
    </row>
    <row r="23" spans="1:9" x14ac:dyDescent="0.3">
      <c r="A23" t="s">
        <v>7</v>
      </c>
      <c r="B23">
        <v>603.19444444444298</v>
      </c>
      <c r="C23">
        <v>2542.2312644009262</v>
      </c>
      <c r="D23">
        <v>0.23726969803692705</v>
      </c>
      <c r="E23">
        <v>0.81680862762708906</v>
      </c>
      <c r="F23">
        <v>-4992.2188420229977</v>
      </c>
      <c r="G23">
        <v>6198.6077309118846</v>
      </c>
      <c r="H23">
        <v>-4992.2188420229977</v>
      </c>
      <c r="I23">
        <v>6198.6077309118846</v>
      </c>
    </row>
    <row r="24" spans="1:9" x14ac:dyDescent="0.3">
      <c r="A24" t="s">
        <v>8</v>
      </c>
      <c r="B24">
        <v>-273.33333333333536</v>
      </c>
      <c r="C24">
        <v>2524.0672469591054</v>
      </c>
      <c r="D24">
        <v>-0.10829082848828071</v>
      </c>
      <c r="E24">
        <v>0.91571506230613275</v>
      </c>
      <c r="F24">
        <v>-5828.7678869636829</v>
      </c>
      <c r="G24">
        <v>5282.1012202970114</v>
      </c>
      <c r="H24">
        <v>-5828.7678869636829</v>
      </c>
      <c r="I24">
        <v>5282.1012202970114</v>
      </c>
    </row>
    <row r="25" spans="1:9" x14ac:dyDescent="0.3">
      <c r="A25" t="s">
        <v>9</v>
      </c>
      <c r="B25">
        <v>-997.86111111111268</v>
      </c>
      <c r="C25">
        <v>2508.5949698133718</v>
      </c>
      <c r="D25">
        <v>-0.39777689229176327</v>
      </c>
      <c r="E25">
        <v>0.69840539843279204</v>
      </c>
      <c r="F25">
        <v>-6519.2414123508752</v>
      </c>
      <c r="G25">
        <v>4523.5191901286507</v>
      </c>
      <c r="H25">
        <v>-6519.2414123508752</v>
      </c>
      <c r="I25">
        <v>4523.5191901286507</v>
      </c>
    </row>
    <row r="26" spans="1:9" x14ac:dyDescent="0.3">
      <c r="A26" t="s">
        <v>10</v>
      </c>
      <c r="B26">
        <v>1545.1111111111102</v>
      </c>
      <c r="C26">
        <v>2495.8644930967785</v>
      </c>
      <c r="D26">
        <v>0.61906850928192503</v>
      </c>
      <c r="E26">
        <v>0.54847770742432556</v>
      </c>
      <c r="F26">
        <v>-3948.249599794538</v>
      </c>
      <c r="G26">
        <v>7038.4718220167588</v>
      </c>
      <c r="H26">
        <v>-3948.249599794538</v>
      </c>
      <c r="I26">
        <v>7038.4718220167588</v>
      </c>
    </row>
    <row r="27" spans="1:9" x14ac:dyDescent="0.3">
      <c r="A27" t="s">
        <v>11</v>
      </c>
      <c r="B27">
        <v>-3631.4166666666688</v>
      </c>
      <c r="C27">
        <v>2485.9179397471203</v>
      </c>
      <c r="D27">
        <v>-1.4607950683344255</v>
      </c>
      <c r="E27">
        <v>0.1720389677838377</v>
      </c>
      <c r="F27">
        <v>-9102.8851612556609</v>
      </c>
      <c r="G27">
        <v>1840.0518279223224</v>
      </c>
      <c r="H27">
        <v>-9102.8851612556609</v>
      </c>
      <c r="I27">
        <v>1840.0518279223224</v>
      </c>
    </row>
    <row r="28" spans="1:9" x14ac:dyDescent="0.3">
      <c r="A28" t="s">
        <v>12</v>
      </c>
      <c r="B28">
        <v>-3181.4444444444453</v>
      </c>
      <c r="C28">
        <v>2478.7888228606612</v>
      </c>
      <c r="D28">
        <v>-1.2834673188387544</v>
      </c>
      <c r="E28">
        <v>0.22570737588602238</v>
      </c>
      <c r="F28">
        <v>-8637.2218585617811</v>
      </c>
      <c r="G28">
        <v>2274.3329696728906</v>
      </c>
      <c r="H28">
        <v>-8637.2218585617811</v>
      </c>
      <c r="I28">
        <v>2274.3329696728906</v>
      </c>
    </row>
    <row r="29" spans="1:9" ht="15" thickBot="1" x14ac:dyDescent="0.35">
      <c r="A29" s="5" t="s">
        <v>13</v>
      </c>
      <c r="B29" s="5">
        <v>-3638.9722222222235</v>
      </c>
      <c r="C29" s="5">
        <v>2474.501493927286</v>
      </c>
      <c r="D29" s="5">
        <v>-1.4705880077877034</v>
      </c>
      <c r="E29" s="5">
        <v>0.16941990226482045</v>
      </c>
      <c r="F29" s="5">
        <v>-9085.3132889807694</v>
      </c>
      <c r="G29" s="5">
        <v>1807.3688445363223</v>
      </c>
      <c r="H29" s="5">
        <v>-9085.3132889807694</v>
      </c>
      <c r="I29" s="5">
        <v>1807.3688445363223</v>
      </c>
    </row>
    <row r="33" spans="1:3" x14ac:dyDescent="0.3">
      <c r="A33" t="s">
        <v>40</v>
      </c>
    </row>
    <row r="34" spans="1:3" ht="15" thickBot="1" x14ac:dyDescent="0.35"/>
    <row r="35" spans="1:3" x14ac:dyDescent="0.3">
      <c r="A35" s="6" t="s">
        <v>41</v>
      </c>
      <c r="B35" s="6" t="s">
        <v>42</v>
      </c>
      <c r="C35" s="6" t="s">
        <v>43</v>
      </c>
    </row>
    <row r="36" spans="1:3" x14ac:dyDescent="0.3">
      <c r="A36">
        <v>1</v>
      </c>
      <c r="B36">
        <v>22479.833333333328</v>
      </c>
      <c r="C36">
        <v>-1909.8333333333285</v>
      </c>
    </row>
    <row r="37" spans="1:3" x14ac:dyDescent="0.3">
      <c r="A37">
        <v>2</v>
      </c>
      <c r="B37">
        <v>26303.333333333328</v>
      </c>
      <c r="C37">
        <v>2450.6666666666715</v>
      </c>
    </row>
    <row r="38" spans="1:3" x14ac:dyDescent="0.3">
      <c r="A38">
        <v>3</v>
      </c>
      <c r="B38">
        <v>23831.333333333325</v>
      </c>
      <c r="C38">
        <v>495.66666666667516</v>
      </c>
    </row>
    <row r="39" spans="1:3" x14ac:dyDescent="0.3">
      <c r="A39">
        <v>4</v>
      </c>
      <c r="B39">
        <v>27974.333333333325</v>
      </c>
      <c r="C39">
        <v>-1938.3333333333248</v>
      </c>
    </row>
    <row r="40" spans="1:3" x14ac:dyDescent="0.3">
      <c r="A40">
        <v>5</v>
      </c>
      <c r="B40">
        <v>27032.333333333325</v>
      </c>
      <c r="C40">
        <v>-2456.3333333333248</v>
      </c>
    </row>
    <row r="41" spans="1:3" x14ac:dyDescent="0.3">
      <c r="A41">
        <v>6</v>
      </c>
      <c r="B41">
        <v>26114.833333333328</v>
      </c>
      <c r="C41">
        <v>52.166666666671517</v>
      </c>
    </row>
    <row r="42" spans="1:3" x14ac:dyDescent="0.3">
      <c r="A42">
        <v>7</v>
      </c>
      <c r="B42">
        <v>25349.333333333328</v>
      </c>
      <c r="C42">
        <v>2256.6666666666715</v>
      </c>
    </row>
    <row r="43" spans="1:3" x14ac:dyDescent="0.3">
      <c r="A43">
        <v>8</v>
      </c>
      <c r="B43">
        <v>27851.333333333328</v>
      </c>
      <c r="C43">
        <v>1879.6666666666715</v>
      </c>
    </row>
    <row r="44" spans="1:3" x14ac:dyDescent="0.3">
      <c r="A44">
        <v>9</v>
      </c>
      <c r="B44">
        <v>22633.833333333328</v>
      </c>
      <c r="C44">
        <v>833.16666666667152</v>
      </c>
    </row>
    <row r="45" spans="1:3" x14ac:dyDescent="0.3">
      <c r="A45">
        <v>10</v>
      </c>
      <c r="B45">
        <v>23042.833333333328</v>
      </c>
      <c r="C45">
        <v>-300.83333333332848</v>
      </c>
    </row>
    <row r="46" spans="1:3" x14ac:dyDescent="0.3">
      <c r="A46">
        <v>11</v>
      </c>
      <c r="B46">
        <v>22544.333333333328</v>
      </c>
      <c r="C46">
        <v>-2024.3333333333285</v>
      </c>
    </row>
    <row r="47" spans="1:3" x14ac:dyDescent="0.3">
      <c r="A47">
        <v>12</v>
      </c>
      <c r="B47">
        <v>26142.333333333328</v>
      </c>
      <c r="C47">
        <v>661.66666666667152</v>
      </c>
    </row>
    <row r="48" spans="1:3" x14ac:dyDescent="0.3">
      <c r="A48">
        <v>13</v>
      </c>
      <c r="B48">
        <v>21988.166666666661</v>
      </c>
      <c r="C48">
        <v>1909.8333333333394</v>
      </c>
    </row>
    <row r="49" spans="1:3" x14ac:dyDescent="0.3">
      <c r="A49">
        <v>14</v>
      </c>
      <c r="B49">
        <v>25811.666666666657</v>
      </c>
      <c r="C49">
        <v>-2450.666666666657</v>
      </c>
    </row>
    <row r="50" spans="1:3" x14ac:dyDescent="0.3">
      <c r="A50">
        <v>15</v>
      </c>
      <c r="B50">
        <v>23339.666666666657</v>
      </c>
      <c r="C50">
        <v>-495.66666666665697</v>
      </c>
    </row>
    <row r="51" spans="1:3" x14ac:dyDescent="0.3">
      <c r="A51">
        <v>16</v>
      </c>
      <c r="B51">
        <v>27482.666666666657</v>
      </c>
      <c r="C51">
        <v>1938.333333333343</v>
      </c>
    </row>
    <row r="52" spans="1:3" x14ac:dyDescent="0.3">
      <c r="A52">
        <v>17</v>
      </c>
      <c r="B52">
        <v>26540.666666666661</v>
      </c>
      <c r="C52">
        <v>2456.3333333333394</v>
      </c>
    </row>
    <row r="53" spans="1:3" x14ac:dyDescent="0.3">
      <c r="A53">
        <v>18</v>
      </c>
      <c r="B53">
        <v>25623.166666666661</v>
      </c>
      <c r="C53">
        <v>-52.166666666660603</v>
      </c>
    </row>
    <row r="54" spans="1:3" x14ac:dyDescent="0.3">
      <c r="A54">
        <v>19</v>
      </c>
      <c r="B54">
        <v>24857.666666666661</v>
      </c>
      <c r="C54">
        <v>-2256.6666666666606</v>
      </c>
    </row>
    <row r="55" spans="1:3" x14ac:dyDescent="0.3">
      <c r="A55">
        <v>20</v>
      </c>
      <c r="B55">
        <v>27359.666666666661</v>
      </c>
      <c r="C55">
        <v>-1879.6666666666606</v>
      </c>
    </row>
    <row r="56" spans="1:3" x14ac:dyDescent="0.3">
      <c r="A56">
        <v>21</v>
      </c>
      <c r="B56">
        <v>22142.166666666661</v>
      </c>
      <c r="C56">
        <v>-833.1666666666606</v>
      </c>
    </row>
    <row r="57" spans="1:3" x14ac:dyDescent="0.3">
      <c r="A57">
        <v>22</v>
      </c>
      <c r="B57">
        <v>22551.166666666661</v>
      </c>
      <c r="C57">
        <v>300.8333333333394</v>
      </c>
    </row>
    <row r="58" spans="1:3" x14ac:dyDescent="0.3">
      <c r="A58">
        <v>23</v>
      </c>
      <c r="B58">
        <v>22052.666666666661</v>
      </c>
      <c r="C58">
        <v>2024.3333333333394</v>
      </c>
    </row>
    <row r="59" spans="1:3" ht="15" thickBot="1" x14ac:dyDescent="0.35">
      <c r="A59" s="5">
        <v>24</v>
      </c>
      <c r="B59" s="5">
        <v>25650.666666666661</v>
      </c>
      <c r="C59" s="5">
        <v>-661.6666666666606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C6C3B-8DED-44B2-9C6B-BE61B546D0F2}">
  <dimension ref="A1:S37"/>
  <sheetViews>
    <sheetView topLeftCell="A33" workbookViewId="0">
      <selection activeCell="R13" sqref="R13"/>
    </sheetView>
  </sheetViews>
  <sheetFormatPr defaultRowHeight="14.4" x14ac:dyDescent="0.3"/>
  <cols>
    <col min="1" max="1" width="10.5546875" bestFit="1" customWidth="1"/>
    <col min="2" max="2" width="11.21875" bestFit="1" customWidth="1"/>
    <col min="3" max="3" width="8.5546875" bestFit="1" customWidth="1"/>
    <col min="4" max="4" width="25.6640625" bestFit="1" customWidth="1"/>
    <col min="9" max="9" width="11.109375" bestFit="1" customWidth="1"/>
    <col min="10" max="10" width="14.5546875" bestFit="1" customWidth="1"/>
    <col min="18" max="18" width="14.5546875" bestFit="1" customWidth="1"/>
  </cols>
  <sheetData>
    <row r="1" spans="1:19" ht="21" x14ac:dyDescent="0.4">
      <c r="A1" s="1" t="s">
        <v>0</v>
      </c>
      <c r="B1" s="1" t="s">
        <v>1</v>
      </c>
      <c r="C1" s="1" t="s">
        <v>2</v>
      </c>
      <c r="D1" s="1" t="s">
        <v>44</v>
      </c>
      <c r="E1" s="1" t="s">
        <v>15</v>
      </c>
      <c r="F1" s="9" t="s">
        <v>3</v>
      </c>
      <c r="G1" s="9" t="s">
        <v>4</v>
      </c>
      <c r="H1" s="9" t="s">
        <v>5</v>
      </c>
      <c r="I1" s="9" t="s">
        <v>6</v>
      </c>
      <c r="J1" s="9" t="s">
        <v>7</v>
      </c>
      <c r="K1" s="9" t="s">
        <v>8</v>
      </c>
      <c r="L1" s="9" t="s">
        <v>9</v>
      </c>
      <c r="M1" s="9" t="s">
        <v>10</v>
      </c>
      <c r="N1" s="9" t="s">
        <v>11</v>
      </c>
      <c r="O1" s="9" t="s">
        <v>12</v>
      </c>
      <c r="P1" s="9" t="s">
        <v>13</v>
      </c>
      <c r="R1" s="6" t="s">
        <v>42</v>
      </c>
      <c r="S1" s="6" t="s">
        <v>43</v>
      </c>
    </row>
    <row r="2" spans="1:19" x14ac:dyDescent="0.3">
      <c r="A2" s="2">
        <v>45292</v>
      </c>
      <c r="B2" s="3" t="s">
        <v>3</v>
      </c>
      <c r="C2" s="3">
        <v>20570</v>
      </c>
      <c r="D2" s="8">
        <f>+'REGRESSION OUTPUT'!$B$17+MMULT(DATA!E2:P2,'REGRESSION OUTPUT'!$B$18:$B$29)</f>
        <v>22479.833333333328</v>
      </c>
      <c r="E2" s="4">
        <v>1</v>
      </c>
      <c r="F2" s="4">
        <f>IF($B2=F$1,1,0)</f>
        <v>1</v>
      </c>
      <c r="G2" s="4">
        <f t="shared" ref="G2:P17" si="0">IF($B2=G$1,1,0)</f>
        <v>0</v>
      </c>
      <c r="H2" s="4">
        <f t="shared" si="0"/>
        <v>0</v>
      </c>
      <c r="I2" s="4">
        <f t="shared" si="0"/>
        <v>0</v>
      </c>
      <c r="J2" s="4">
        <f t="shared" si="0"/>
        <v>0</v>
      </c>
      <c r="K2" s="4">
        <f t="shared" si="0"/>
        <v>0</v>
      </c>
      <c r="L2" s="4">
        <f t="shared" si="0"/>
        <v>0</v>
      </c>
      <c r="M2" s="4">
        <f t="shared" si="0"/>
        <v>0</v>
      </c>
      <c r="N2" s="4">
        <f t="shared" si="0"/>
        <v>0</v>
      </c>
      <c r="O2" s="4">
        <f t="shared" si="0"/>
        <v>0</v>
      </c>
      <c r="P2" s="4">
        <f t="shared" si="0"/>
        <v>0</v>
      </c>
      <c r="R2">
        <v>22479.833333333328</v>
      </c>
      <c r="S2">
        <v>-1909.8333333333285</v>
      </c>
    </row>
    <row r="3" spans="1:19" x14ac:dyDescent="0.3">
      <c r="A3" s="2">
        <v>45323</v>
      </c>
      <c r="B3" s="3" t="s">
        <v>4</v>
      </c>
      <c r="C3" s="3">
        <v>28754</v>
      </c>
      <c r="D3" s="8">
        <f>+'REGRESSION OUTPUT'!$B$17+MMULT(DATA!E3:P3,'REGRESSION OUTPUT'!$B$18:$B$29)</f>
        <v>26303.333333333328</v>
      </c>
      <c r="E3" s="4">
        <v>2</v>
      </c>
      <c r="F3" s="4">
        <f t="shared" ref="F3:P37" si="1">IF($B3=F$1,1,0)</f>
        <v>0</v>
      </c>
      <c r="G3" s="4">
        <f t="shared" si="0"/>
        <v>1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R3">
        <v>26303.333333333328</v>
      </c>
      <c r="S3">
        <v>2450.6666666666715</v>
      </c>
    </row>
    <row r="4" spans="1:19" x14ac:dyDescent="0.3">
      <c r="A4" s="2">
        <v>45352</v>
      </c>
      <c r="B4" s="3" t="s">
        <v>5</v>
      </c>
      <c r="C4" s="3">
        <v>24327</v>
      </c>
      <c r="D4" s="8">
        <f>+'REGRESSION OUTPUT'!$B$17+MMULT(DATA!E4:P4,'REGRESSION OUTPUT'!$B$18:$B$29)</f>
        <v>23831.333333333325</v>
      </c>
      <c r="E4" s="4">
        <v>3</v>
      </c>
      <c r="F4" s="4">
        <f t="shared" si="1"/>
        <v>0</v>
      </c>
      <c r="G4" s="4">
        <f t="shared" si="0"/>
        <v>0</v>
      </c>
      <c r="H4" s="4">
        <f t="shared" si="0"/>
        <v>1</v>
      </c>
      <c r="I4" s="4">
        <f t="shared" si="0"/>
        <v>0</v>
      </c>
      <c r="J4" s="4">
        <f t="shared" si="0"/>
        <v>0</v>
      </c>
      <c r="K4" s="4">
        <f t="shared" si="0"/>
        <v>0</v>
      </c>
      <c r="L4" s="4">
        <f t="shared" si="0"/>
        <v>0</v>
      </c>
      <c r="M4" s="4">
        <f t="shared" si="0"/>
        <v>0</v>
      </c>
      <c r="N4" s="4">
        <f t="shared" si="0"/>
        <v>0</v>
      </c>
      <c r="O4" s="4">
        <f t="shared" si="0"/>
        <v>0</v>
      </c>
      <c r="P4" s="4">
        <f t="shared" si="0"/>
        <v>0</v>
      </c>
      <c r="R4">
        <v>23831.333333333325</v>
      </c>
      <c r="S4">
        <v>495.66666666667516</v>
      </c>
    </row>
    <row r="5" spans="1:19" x14ac:dyDescent="0.3">
      <c r="A5" s="2">
        <v>45383</v>
      </c>
      <c r="B5" s="3" t="s">
        <v>6</v>
      </c>
      <c r="C5" s="3">
        <v>26036</v>
      </c>
      <c r="D5" s="8">
        <f>+'REGRESSION OUTPUT'!$B$17+MMULT(DATA!E5:P5,'REGRESSION OUTPUT'!$B$18:$B$29)</f>
        <v>27974.333333333328</v>
      </c>
      <c r="E5" s="4">
        <v>4</v>
      </c>
      <c r="F5" s="4">
        <f t="shared" si="1"/>
        <v>0</v>
      </c>
      <c r="G5" s="4">
        <f t="shared" si="0"/>
        <v>0</v>
      </c>
      <c r="H5" s="4">
        <f t="shared" si="0"/>
        <v>0</v>
      </c>
      <c r="I5" s="4">
        <f t="shared" si="0"/>
        <v>1</v>
      </c>
      <c r="J5" s="4">
        <f t="shared" si="0"/>
        <v>0</v>
      </c>
      <c r="K5" s="4">
        <f t="shared" si="0"/>
        <v>0</v>
      </c>
      <c r="L5" s="4">
        <f t="shared" si="0"/>
        <v>0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0</v>
      </c>
      <c r="R5">
        <v>27974.333333333325</v>
      </c>
      <c r="S5">
        <v>-1938.3333333333248</v>
      </c>
    </row>
    <row r="6" spans="1:19" x14ac:dyDescent="0.3">
      <c r="A6" s="2">
        <v>45413</v>
      </c>
      <c r="B6" s="3" t="s">
        <v>7</v>
      </c>
      <c r="C6" s="3">
        <v>24576</v>
      </c>
      <c r="D6" s="8">
        <f>+'REGRESSION OUTPUT'!$B$17+MMULT(DATA!E6:P6,'REGRESSION OUTPUT'!$B$18:$B$29)</f>
        <v>27032.333333333328</v>
      </c>
      <c r="E6" s="4">
        <v>5</v>
      </c>
      <c r="F6" s="4">
        <f t="shared" si="1"/>
        <v>0</v>
      </c>
      <c r="G6" s="4">
        <f t="shared" si="0"/>
        <v>0</v>
      </c>
      <c r="H6" s="4">
        <f t="shared" si="0"/>
        <v>0</v>
      </c>
      <c r="I6" s="4">
        <f t="shared" si="0"/>
        <v>0</v>
      </c>
      <c r="J6" s="4">
        <f t="shared" si="0"/>
        <v>1</v>
      </c>
      <c r="K6" s="4">
        <f t="shared" si="0"/>
        <v>0</v>
      </c>
      <c r="L6" s="4">
        <f t="shared" si="0"/>
        <v>0</v>
      </c>
      <c r="M6" s="4">
        <f t="shared" si="0"/>
        <v>0</v>
      </c>
      <c r="N6" s="4">
        <f t="shared" si="0"/>
        <v>0</v>
      </c>
      <c r="O6" s="4">
        <f t="shared" si="0"/>
        <v>0</v>
      </c>
      <c r="P6" s="4">
        <f t="shared" si="0"/>
        <v>0</v>
      </c>
      <c r="R6">
        <v>27032.333333333325</v>
      </c>
      <c r="S6">
        <v>-2456.3333333333248</v>
      </c>
    </row>
    <row r="7" spans="1:19" x14ac:dyDescent="0.3">
      <c r="A7" s="2">
        <v>45444</v>
      </c>
      <c r="B7" s="3" t="s">
        <v>8</v>
      </c>
      <c r="C7" s="3">
        <v>26167</v>
      </c>
      <c r="D7" s="8">
        <f>+'REGRESSION OUTPUT'!$B$17+MMULT(DATA!E7:P7,'REGRESSION OUTPUT'!$B$18:$B$29)</f>
        <v>26114.833333333328</v>
      </c>
      <c r="E7" s="4">
        <v>6</v>
      </c>
      <c r="F7" s="4">
        <f t="shared" si="1"/>
        <v>0</v>
      </c>
      <c r="G7" s="4">
        <f t="shared" si="0"/>
        <v>0</v>
      </c>
      <c r="H7" s="4">
        <f t="shared" si="0"/>
        <v>0</v>
      </c>
      <c r="I7" s="4">
        <f t="shared" si="0"/>
        <v>0</v>
      </c>
      <c r="J7" s="4">
        <f t="shared" si="0"/>
        <v>0</v>
      </c>
      <c r="K7" s="4">
        <f t="shared" si="0"/>
        <v>1</v>
      </c>
      <c r="L7" s="4">
        <f t="shared" si="0"/>
        <v>0</v>
      </c>
      <c r="M7" s="4">
        <f t="shared" si="0"/>
        <v>0</v>
      </c>
      <c r="N7" s="4">
        <f t="shared" si="0"/>
        <v>0</v>
      </c>
      <c r="O7" s="4">
        <f t="shared" si="0"/>
        <v>0</v>
      </c>
      <c r="P7" s="4">
        <f t="shared" si="0"/>
        <v>0</v>
      </c>
      <c r="R7">
        <v>26114.833333333328</v>
      </c>
      <c r="S7">
        <v>52.166666666671517</v>
      </c>
    </row>
    <row r="8" spans="1:19" x14ac:dyDescent="0.3">
      <c r="A8" s="2">
        <v>45474</v>
      </c>
      <c r="B8" s="3" t="s">
        <v>9</v>
      </c>
      <c r="C8" s="3">
        <v>27606</v>
      </c>
      <c r="D8" s="8">
        <f>+'REGRESSION OUTPUT'!$B$17+MMULT(DATA!E8:P8,'REGRESSION OUTPUT'!$B$18:$B$29)</f>
        <v>25349.333333333328</v>
      </c>
      <c r="E8" s="4">
        <v>7</v>
      </c>
      <c r="F8" s="4">
        <f t="shared" si="1"/>
        <v>0</v>
      </c>
      <c r="G8" s="4">
        <f t="shared" si="0"/>
        <v>0</v>
      </c>
      <c r="H8" s="4">
        <f t="shared" si="0"/>
        <v>0</v>
      </c>
      <c r="I8" s="4">
        <f t="shared" si="0"/>
        <v>0</v>
      </c>
      <c r="J8" s="4">
        <f t="shared" si="0"/>
        <v>0</v>
      </c>
      <c r="K8" s="4">
        <f t="shared" si="0"/>
        <v>0</v>
      </c>
      <c r="L8" s="4">
        <f t="shared" si="0"/>
        <v>1</v>
      </c>
      <c r="M8" s="4">
        <f t="shared" si="0"/>
        <v>0</v>
      </c>
      <c r="N8" s="4">
        <f t="shared" si="0"/>
        <v>0</v>
      </c>
      <c r="O8" s="4">
        <f t="shared" si="0"/>
        <v>0</v>
      </c>
      <c r="P8" s="4">
        <f t="shared" si="0"/>
        <v>0</v>
      </c>
      <c r="R8">
        <v>25349.333333333328</v>
      </c>
      <c r="S8">
        <v>2256.6666666666715</v>
      </c>
    </row>
    <row r="9" spans="1:19" x14ac:dyDescent="0.3">
      <c r="A9" s="2">
        <v>45505</v>
      </c>
      <c r="B9" s="3" t="s">
        <v>10</v>
      </c>
      <c r="C9" s="3">
        <v>29731</v>
      </c>
      <c r="D9" s="8">
        <f>+'REGRESSION OUTPUT'!$B$17+MMULT(DATA!E9:P9,'REGRESSION OUTPUT'!$B$18:$B$29)</f>
        <v>27851.333333333328</v>
      </c>
      <c r="E9" s="4">
        <v>8</v>
      </c>
      <c r="F9" s="4">
        <f t="shared" si="1"/>
        <v>0</v>
      </c>
      <c r="G9" s="4">
        <f t="shared" si="0"/>
        <v>0</v>
      </c>
      <c r="H9" s="4">
        <f t="shared" si="0"/>
        <v>0</v>
      </c>
      <c r="I9" s="4">
        <f t="shared" si="0"/>
        <v>0</v>
      </c>
      <c r="J9" s="4">
        <f t="shared" si="0"/>
        <v>0</v>
      </c>
      <c r="K9" s="4">
        <f t="shared" si="0"/>
        <v>0</v>
      </c>
      <c r="L9" s="4">
        <f t="shared" si="0"/>
        <v>0</v>
      </c>
      <c r="M9" s="4">
        <f t="shared" si="0"/>
        <v>1</v>
      </c>
      <c r="N9" s="4">
        <f t="shared" si="0"/>
        <v>0</v>
      </c>
      <c r="O9" s="4">
        <f t="shared" si="0"/>
        <v>0</v>
      </c>
      <c r="P9" s="4">
        <f t="shared" si="0"/>
        <v>0</v>
      </c>
      <c r="R9">
        <v>27851.333333333328</v>
      </c>
      <c r="S9">
        <v>1879.6666666666715</v>
      </c>
    </row>
    <row r="10" spans="1:19" x14ac:dyDescent="0.3">
      <c r="A10" s="2">
        <v>45536</v>
      </c>
      <c r="B10" s="3" t="s">
        <v>11</v>
      </c>
      <c r="C10" s="3">
        <v>23467</v>
      </c>
      <c r="D10" s="8">
        <f>+'REGRESSION OUTPUT'!$B$17+MMULT(DATA!E10:P10,'REGRESSION OUTPUT'!$B$18:$B$29)</f>
        <v>22633.833333333328</v>
      </c>
      <c r="E10" s="4">
        <v>9</v>
      </c>
      <c r="F10" s="4">
        <f t="shared" si="1"/>
        <v>0</v>
      </c>
      <c r="G10" s="4">
        <f t="shared" si="0"/>
        <v>0</v>
      </c>
      <c r="H10" s="4">
        <f t="shared" si="0"/>
        <v>0</v>
      </c>
      <c r="I10" s="4">
        <f t="shared" si="0"/>
        <v>0</v>
      </c>
      <c r="J10" s="4">
        <f t="shared" si="0"/>
        <v>0</v>
      </c>
      <c r="K10" s="4">
        <f t="shared" si="0"/>
        <v>0</v>
      </c>
      <c r="L10" s="4">
        <f t="shared" si="0"/>
        <v>0</v>
      </c>
      <c r="M10" s="4">
        <f t="shared" si="0"/>
        <v>0</v>
      </c>
      <c r="N10" s="4">
        <f t="shared" si="0"/>
        <v>1</v>
      </c>
      <c r="O10" s="4">
        <f t="shared" si="0"/>
        <v>0</v>
      </c>
      <c r="P10" s="4">
        <f t="shared" si="0"/>
        <v>0</v>
      </c>
      <c r="R10">
        <v>22633.833333333328</v>
      </c>
      <c r="S10">
        <v>833.16666666667152</v>
      </c>
    </row>
    <row r="11" spans="1:19" x14ac:dyDescent="0.3">
      <c r="A11" s="2">
        <v>45566</v>
      </c>
      <c r="B11" s="3" t="s">
        <v>12</v>
      </c>
      <c r="C11" s="3">
        <v>22742</v>
      </c>
      <c r="D11" s="8">
        <f>+'REGRESSION OUTPUT'!$B$17+MMULT(DATA!E11:P11,'REGRESSION OUTPUT'!$B$18:$B$29)</f>
        <v>23042.833333333328</v>
      </c>
      <c r="E11" s="4">
        <v>10</v>
      </c>
      <c r="F11" s="4">
        <f t="shared" si="1"/>
        <v>0</v>
      </c>
      <c r="G11" s="4">
        <f t="shared" si="0"/>
        <v>0</v>
      </c>
      <c r="H11" s="4">
        <f t="shared" si="0"/>
        <v>0</v>
      </c>
      <c r="I11" s="4">
        <f t="shared" si="0"/>
        <v>0</v>
      </c>
      <c r="J11" s="4">
        <f t="shared" si="0"/>
        <v>0</v>
      </c>
      <c r="K11" s="4">
        <f t="shared" si="0"/>
        <v>0</v>
      </c>
      <c r="L11" s="4">
        <f t="shared" si="0"/>
        <v>0</v>
      </c>
      <c r="M11" s="4">
        <f t="shared" si="0"/>
        <v>0</v>
      </c>
      <c r="N11" s="4">
        <f t="shared" si="0"/>
        <v>0</v>
      </c>
      <c r="O11" s="4">
        <f t="shared" si="0"/>
        <v>1</v>
      </c>
      <c r="P11" s="4">
        <f t="shared" si="0"/>
        <v>0</v>
      </c>
      <c r="R11">
        <v>23042.833333333328</v>
      </c>
      <c r="S11">
        <v>-300.83333333332848</v>
      </c>
    </row>
    <row r="12" spans="1:19" x14ac:dyDescent="0.3">
      <c r="A12" s="2">
        <v>45597</v>
      </c>
      <c r="B12" s="3" t="s">
        <v>13</v>
      </c>
      <c r="C12" s="3">
        <v>20520</v>
      </c>
      <c r="D12" s="8">
        <f>+'REGRESSION OUTPUT'!$B$17+MMULT(DATA!E12:P12,'REGRESSION OUTPUT'!$B$18:$B$29)</f>
        <v>22544.333333333328</v>
      </c>
      <c r="E12" s="4">
        <v>11</v>
      </c>
      <c r="F12" s="4">
        <f t="shared" si="1"/>
        <v>0</v>
      </c>
      <c r="G12" s="4">
        <f t="shared" si="0"/>
        <v>0</v>
      </c>
      <c r="H12" s="4">
        <f t="shared" si="0"/>
        <v>0</v>
      </c>
      <c r="I12" s="4">
        <f t="shared" si="0"/>
        <v>0</v>
      </c>
      <c r="J12" s="4">
        <f t="shared" si="0"/>
        <v>0</v>
      </c>
      <c r="K12" s="4">
        <f t="shared" si="0"/>
        <v>0</v>
      </c>
      <c r="L12" s="4">
        <f t="shared" si="0"/>
        <v>0</v>
      </c>
      <c r="M12" s="4">
        <f t="shared" si="0"/>
        <v>0</v>
      </c>
      <c r="N12" s="4">
        <f t="shared" si="0"/>
        <v>0</v>
      </c>
      <c r="O12" s="4">
        <f t="shared" si="0"/>
        <v>0</v>
      </c>
      <c r="P12" s="4">
        <f t="shared" si="0"/>
        <v>1</v>
      </c>
      <c r="R12">
        <v>22544.333333333328</v>
      </c>
      <c r="S12">
        <v>-2024.3333333333285</v>
      </c>
    </row>
    <row r="13" spans="1:19" x14ac:dyDescent="0.3">
      <c r="A13" s="2">
        <v>45627</v>
      </c>
      <c r="B13" s="3" t="s">
        <v>14</v>
      </c>
      <c r="C13" s="3">
        <v>26804</v>
      </c>
      <c r="D13" s="8">
        <f>+'REGRESSION OUTPUT'!$B$17+MMULT(DATA!E13:P13,'REGRESSION OUTPUT'!$B$18:$B$29)</f>
        <v>26142.333333333328</v>
      </c>
      <c r="E13" s="4">
        <v>12</v>
      </c>
      <c r="F13" s="4">
        <f t="shared" si="1"/>
        <v>0</v>
      </c>
      <c r="G13" s="4">
        <f t="shared" si="0"/>
        <v>0</v>
      </c>
      <c r="H13" s="4">
        <f t="shared" si="0"/>
        <v>0</v>
      </c>
      <c r="I13" s="4">
        <f t="shared" si="0"/>
        <v>0</v>
      </c>
      <c r="J13" s="4">
        <f t="shared" si="0"/>
        <v>0</v>
      </c>
      <c r="K13" s="4">
        <f t="shared" si="0"/>
        <v>0</v>
      </c>
      <c r="L13" s="4">
        <f t="shared" si="0"/>
        <v>0</v>
      </c>
      <c r="M13" s="4">
        <f t="shared" si="0"/>
        <v>0</v>
      </c>
      <c r="N13" s="4">
        <f t="shared" si="0"/>
        <v>0</v>
      </c>
      <c r="O13" s="4">
        <f t="shared" si="0"/>
        <v>0</v>
      </c>
      <c r="P13" s="4">
        <f t="shared" si="0"/>
        <v>0</v>
      </c>
      <c r="R13">
        <v>26142.333333333328</v>
      </c>
      <c r="S13">
        <v>661.66666666667152</v>
      </c>
    </row>
    <row r="14" spans="1:19" x14ac:dyDescent="0.3">
      <c r="A14" s="2">
        <v>45658</v>
      </c>
      <c r="B14" s="3" t="s">
        <v>3</v>
      </c>
      <c r="C14" s="3">
        <v>23898</v>
      </c>
      <c r="D14" s="8">
        <f>+'REGRESSION OUTPUT'!$B$17+MMULT(DATA!E14:P14,'REGRESSION OUTPUT'!$B$18:$B$29)</f>
        <v>21988.166666666661</v>
      </c>
      <c r="E14" s="4">
        <v>13</v>
      </c>
      <c r="F14" s="4">
        <f t="shared" si="1"/>
        <v>1</v>
      </c>
      <c r="G14" s="4">
        <f t="shared" si="0"/>
        <v>0</v>
      </c>
      <c r="H14" s="4">
        <f t="shared" si="0"/>
        <v>0</v>
      </c>
      <c r="I14" s="4">
        <f t="shared" si="0"/>
        <v>0</v>
      </c>
      <c r="J14" s="4">
        <f t="shared" si="0"/>
        <v>0</v>
      </c>
      <c r="K14" s="4">
        <f t="shared" si="0"/>
        <v>0</v>
      </c>
      <c r="L14" s="4">
        <f t="shared" si="0"/>
        <v>0</v>
      </c>
      <c r="M14" s="4">
        <f t="shared" si="0"/>
        <v>0</v>
      </c>
      <c r="N14" s="4">
        <f t="shared" si="0"/>
        <v>0</v>
      </c>
      <c r="O14" s="4">
        <f t="shared" si="0"/>
        <v>0</v>
      </c>
      <c r="P14" s="4">
        <f t="shared" si="0"/>
        <v>0</v>
      </c>
      <c r="R14">
        <v>21988.166666666661</v>
      </c>
      <c r="S14">
        <v>1909.8333333333394</v>
      </c>
    </row>
    <row r="15" spans="1:19" x14ac:dyDescent="0.3">
      <c r="A15" s="2">
        <v>45689</v>
      </c>
      <c r="B15" s="3" t="s">
        <v>4</v>
      </c>
      <c r="C15" s="3">
        <v>23361</v>
      </c>
      <c r="D15" s="8">
        <f>+'REGRESSION OUTPUT'!$B$17+MMULT(DATA!E15:P15,'REGRESSION OUTPUT'!$B$18:$B$29)</f>
        <v>25811.666666666661</v>
      </c>
      <c r="E15" s="4">
        <v>14</v>
      </c>
      <c r="F15" s="4">
        <f t="shared" si="1"/>
        <v>0</v>
      </c>
      <c r="G15" s="4">
        <f t="shared" si="0"/>
        <v>1</v>
      </c>
      <c r="H15" s="4">
        <f t="shared" si="0"/>
        <v>0</v>
      </c>
      <c r="I15" s="4">
        <f t="shared" si="0"/>
        <v>0</v>
      </c>
      <c r="J15" s="4">
        <f t="shared" si="0"/>
        <v>0</v>
      </c>
      <c r="K15" s="4">
        <f t="shared" si="0"/>
        <v>0</v>
      </c>
      <c r="L15" s="4">
        <f t="shared" si="0"/>
        <v>0</v>
      </c>
      <c r="M15" s="4">
        <f t="shared" si="0"/>
        <v>0</v>
      </c>
      <c r="N15" s="4">
        <f t="shared" si="0"/>
        <v>0</v>
      </c>
      <c r="O15" s="4">
        <f t="shared" si="0"/>
        <v>0</v>
      </c>
      <c r="P15" s="4">
        <f t="shared" si="0"/>
        <v>0</v>
      </c>
      <c r="R15">
        <v>25811.666666666657</v>
      </c>
      <c r="S15">
        <v>-2450.666666666657</v>
      </c>
    </row>
    <row r="16" spans="1:19" x14ac:dyDescent="0.3">
      <c r="A16" s="2">
        <v>45717</v>
      </c>
      <c r="B16" s="3" t="s">
        <v>5</v>
      </c>
      <c r="C16" s="3">
        <v>22844</v>
      </c>
      <c r="D16" s="8">
        <f>+'REGRESSION OUTPUT'!$B$17+MMULT(DATA!E16:P16,'REGRESSION OUTPUT'!$B$18:$B$29)</f>
        <v>23339.666666666657</v>
      </c>
      <c r="E16" s="4">
        <v>15</v>
      </c>
      <c r="F16" s="4">
        <f t="shared" si="1"/>
        <v>0</v>
      </c>
      <c r="G16" s="4">
        <f t="shared" si="0"/>
        <v>0</v>
      </c>
      <c r="H16" s="4">
        <f t="shared" si="0"/>
        <v>1</v>
      </c>
      <c r="I16" s="4">
        <f t="shared" si="0"/>
        <v>0</v>
      </c>
      <c r="J16" s="4">
        <f t="shared" si="0"/>
        <v>0</v>
      </c>
      <c r="K16" s="4">
        <f t="shared" si="0"/>
        <v>0</v>
      </c>
      <c r="L16" s="4">
        <f t="shared" si="0"/>
        <v>0</v>
      </c>
      <c r="M16" s="4">
        <f t="shared" si="0"/>
        <v>0</v>
      </c>
      <c r="N16" s="4">
        <f t="shared" si="0"/>
        <v>0</v>
      </c>
      <c r="O16" s="4">
        <f t="shared" si="0"/>
        <v>0</v>
      </c>
      <c r="P16" s="4">
        <f t="shared" si="0"/>
        <v>0</v>
      </c>
      <c r="R16">
        <v>23339.666666666657</v>
      </c>
      <c r="S16">
        <v>-495.66666666665697</v>
      </c>
    </row>
    <row r="17" spans="1:19" x14ac:dyDescent="0.3">
      <c r="A17" s="2">
        <v>45748</v>
      </c>
      <c r="B17" s="3" t="s">
        <v>6</v>
      </c>
      <c r="C17" s="3">
        <v>29421</v>
      </c>
      <c r="D17" s="8">
        <f>+'REGRESSION OUTPUT'!$B$17+MMULT(DATA!E17:P17,'REGRESSION OUTPUT'!$B$18:$B$29)</f>
        <v>27482.666666666661</v>
      </c>
      <c r="E17" s="4">
        <v>16</v>
      </c>
      <c r="F17" s="4">
        <f t="shared" si="1"/>
        <v>0</v>
      </c>
      <c r="G17" s="4">
        <f t="shared" si="0"/>
        <v>0</v>
      </c>
      <c r="H17" s="4">
        <f t="shared" si="0"/>
        <v>0</v>
      </c>
      <c r="I17" s="4">
        <f t="shared" si="0"/>
        <v>1</v>
      </c>
      <c r="J17" s="4">
        <f t="shared" si="0"/>
        <v>0</v>
      </c>
      <c r="K17" s="4">
        <f t="shared" si="0"/>
        <v>0</v>
      </c>
      <c r="L17" s="4">
        <f t="shared" si="0"/>
        <v>0</v>
      </c>
      <c r="M17" s="4">
        <f t="shared" si="0"/>
        <v>0</v>
      </c>
      <c r="N17" s="4">
        <f t="shared" si="0"/>
        <v>0</v>
      </c>
      <c r="O17" s="4">
        <f t="shared" si="0"/>
        <v>0</v>
      </c>
      <c r="P17" s="4">
        <f t="shared" si="0"/>
        <v>0</v>
      </c>
      <c r="R17">
        <v>27482.666666666657</v>
      </c>
      <c r="S17">
        <v>1938.333333333343</v>
      </c>
    </row>
    <row r="18" spans="1:19" x14ac:dyDescent="0.3">
      <c r="A18" s="2">
        <v>45778</v>
      </c>
      <c r="B18" s="3" t="s">
        <v>7</v>
      </c>
      <c r="C18" s="3">
        <v>28997</v>
      </c>
      <c r="D18" s="8">
        <f>+'REGRESSION OUTPUT'!$B$17+MMULT(DATA!E18:P18,'REGRESSION OUTPUT'!$B$18:$B$29)</f>
        <v>26540.666666666661</v>
      </c>
      <c r="E18" s="4">
        <v>17</v>
      </c>
      <c r="F18" s="4">
        <f t="shared" si="1"/>
        <v>0</v>
      </c>
      <c r="G18" s="4">
        <f t="shared" si="1"/>
        <v>0</v>
      </c>
      <c r="H18" s="4">
        <f t="shared" si="1"/>
        <v>0</v>
      </c>
      <c r="I18" s="4">
        <f t="shared" si="1"/>
        <v>0</v>
      </c>
      <c r="J18" s="4">
        <f t="shared" si="1"/>
        <v>1</v>
      </c>
      <c r="K18" s="4">
        <f t="shared" si="1"/>
        <v>0</v>
      </c>
      <c r="L18" s="4">
        <f t="shared" si="1"/>
        <v>0</v>
      </c>
      <c r="M18" s="4">
        <f t="shared" si="1"/>
        <v>0</v>
      </c>
      <c r="N18" s="4">
        <f t="shared" si="1"/>
        <v>0</v>
      </c>
      <c r="O18" s="4">
        <f t="shared" si="1"/>
        <v>0</v>
      </c>
      <c r="P18" s="4">
        <f t="shared" si="1"/>
        <v>0</v>
      </c>
      <c r="R18">
        <v>26540.666666666661</v>
      </c>
      <c r="S18">
        <v>2456.3333333333394</v>
      </c>
    </row>
    <row r="19" spans="1:19" x14ac:dyDescent="0.3">
      <c r="A19" s="2">
        <v>45809</v>
      </c>
      <c r="B19" s="3" t="s">
        <v>8</v>
      </c>
      <c r="C19" s="3">
        <v>25571</v>
      </c>
      <c r="D19" s="8">
        <f>+'REGRESSION OUTPUT'!$B$17+MMULT(DATA!E19:P19,'REGRESSION OUTPUT'!$B$18:$B$29)</f>
        <v>25623.166666666661</v>
      </c>
      <c r="E19" s="4">
        <v>18</v>
      </c>
      <c r="F19" s="4">
        <f t="shared" si="1"/>
        <v>0</v>
      </c>
      <c r="G19" s="4">
        <f t="shared" si="1"/>
        <v>0</v>
      </c>
      <c r="H19" s="4">
        <f t="shared" si="1"/>
        <v>0</v>
      </c>
      <c r="I19" s="4">
        <f t="shared" si="1"/>
        <v>0</v>
      </c>
      <c r="J19" s="4">
        <f t="shared" si="1"/>
        <v>0</v>
      </c>
      <c r="K19" s="4">
        <f t="shared" si="1"/>
        <v>1</v>
      </c>
      <c r="L19" s="4">
        <f t="shared" si="1"/>
        <v>0</v>
      </c>
      <c r="M19" s="4">
        <f t="shared" si="1"/>
        <v>0</v>
      </c>
      <c r="N19" s="4">
        <f t="shared" si="1"/>
        <v>0</v>
      </c>
      <c r="O19" s="4">
        <f t="shared" si="1"/>
        <v>0</v>
      </c>
      <c r="P19" s="4">
        <f t="shared" si="1"/>
        <v>0</v>
      </c>
      <c r="R19">
        <v>25623.166666666661</v>
      </c>
      <c r="S19">
        <v>-52.166666666660603</v>
      </c>
    </row>
    <row r="20" spans="1:19" x14ac:dyDescent="0.3">
      <c r="A20" s="2">
        <v>45839</v>
      </c>
      <c r="B20" s="3" t="s">
        <v>9</v>
      </c>
      <c r="C20" s="3">
        <v>22601</v>
      </c>
      <c r="D20" s="8">
        <f>+'REGRESSION OUTPUT'!$B$17+MMULT(DATA!E20:P20,'REGRESSION OUTPUT'!$B$18:$B$29)</f>
        <v>24857.666666666661</v>
      </c>
      <c r="E20" s="4">
        <v>19</v>
      </c>
      <c r="F20" s="4">
        <f t="shared" si="1"/>
        <v>0</v>
      </c>
      <c r="G20" s="4">
        <f t="shared" si="1"/>
        <v>0</v>
      </c>
      <c r="H20" s="4">
        <f t="shared" si="1"/>
        <v>0</v>
      </c>
      <c r="I20" s="4">
        <f t="shared" si="1"/>
        <v>0</v>
      </c>
      <c r="J20" s="4">
        <f t="shared" si="1"/>
        <v>0</v>
      </c>
      <c r="K20" s="4">
        <f t="shared" si="1"/>
        <v>0</v>
      </c>
      <c r="L20" s="4">
        <f t="shared" si="1"/>
        <v>1</v>
      </c>
      <c r="M20" s="4">
        <f t="shared" si="1"/>
        <v>0</v>
      </c>
      <c r="N20" s="4">
        <f t="shared" si="1"/>
        <v>0</v>
      </c>
      <c r="O20" s="4">
        <f t="shared" si="1"/>
        <v>0</v>
      </c>
      <c r="P20" s="4">
        <f t="shared" si="1"/>
        <v>0</v>
      </c>
      <c r="R20">
        <v>24857.666666666661</v>
      </c>
      <c r="S20">
        <v>-2256.6666666666606</v>
      </c>
    </row>
    <row r="21" spans="1:19" x14ac:dyDescent="0.3">
      <c r="A21" s="2">
        <v>45870</v>
      </c>
      <c r="B21" s="3" t="s">
        <v>10</v>
      </c>
      <c r="C21" s="3">
        <v>25480</v>
      </c>
      <c r="D21" s="8">
        <f>+'REGRESSION OUTPUT'!$B$17+MMULT(DATA!E21:P21,'REGRESSION OUTPUT'!$B$18:$B$29)</f>
        <v>27359.666666666661</v>
      </c>
      <c r="E21" s="4">
        <v>20</v>
      </c>
      <c r="F21" s="4">
        <f t="shared" si="1"/>
        <v>0</v>
      </c>
      <c r="G21" s="4">
        <f t="shared" si="1"/>
        <v>0</v>
      </c>
      <c r="H21" s="4">
        <f t="shared" si="1"/>
        <v>0</v>
      </c>
      <c r="I21" s="4">
        <f t="shared" si="1"/>
        <v>0</v>
      </c>
      <c r="J21" s="4">
        <f t="shared" si="1"/>
        <v>0</v>
      </c>
      <c r="K21" s="4">
        <f t="shared" si="1"/>
        <v>0</v>
      </c>
      <c r="L21" s="4">
        <f t="shared" si="1"/>
        <v>0</v>
      </c>
      <c r="M21" s="4">
        <f t="shared" si="1"/>
        <v>1</v>
      </c>
      <c r="N21" s="4">
        <f t="shared" si="1"/>
        <v>0</v>
      </c>
      <c r="O21" s="4">
        <f t="shared" si="1"/>
        <v>0</v>
      </c>
      <c r="P21" s="4">
        <f t="shared" si="1"/>
        <v>0</v>
      </c>
      <c r="R21">
        <v>27359.666666666661</v>
      </c>
      <c r="S21">
        <v>-1879.6666666666606</v>
      </c>
    </row>
    <row r="22" spans="1:19" x14ac:dyDescent="0.3">
      <c r="A22" s="2">
        <v>45901</v>
      </c>
      <c r="B22" s="3" t="s">
        <v>11</v>
      </c>
      <c r="C22" s="3">
        <v>21309</v>
      </c>
      <c r="D22" s="8">
        <f>+'REGRESSION OUTPUT'!$B$17+MMULT(DATA!E22:P22,'REGRESSION OUTPUT'!$B$18:$B$29)</f>
        <v>22142.166666666661</v>
      </c>
      <c r="E22" s="4">
        <v>21</v>
      </c>
      <c r="F22" s="4">
        <f t="shared" si="1"/>
        <v>0</v>
      </c>
      <c r="G22" s="4">
        <f t="shared" si="1"/>
        <v>0</v>
      </c>
      <c r="H22" s="4">
        <f t="shared" si="1"/>
        <v>0</v>
      </c>
      <c r="I22" s="4">
        <f t="shared" si="1"/>
        <v>0</v>
      </c>
      <c r="J22" s="4">
        <f t="shared" si="1"/>
        <v>0</v>
      </c>
      <c r="K22" s="4">
        <f t="shared" si="1"/>
        <v>0</v>
      </c>
      <c r="L22" s="4">
        <f t="shared" si="1"/>
        <v>0</v>
      </c>
      <c r="M22" s="4">
        <f t="shared" si="1"/>
        <v>0</v>
      </c>
      <c r="N22" s="4">
        <f t="shared" si="1"/>
        <v>1</v>
      </c>
      <c r="O22" s="4">
        <f t="shared" si="1"/>
        <v>0</v>
      </c>
      <c r="P22" s="4">
        <f t="shared" si="1"/>
        <v>0</v>
      </c>
      <c r="R22">
        <v>22142.166666666661</v>
      </c>
      <c r="S22">
        <v>-833.1666666666606</v>
      </c>
    </row>
    <row r="23" spans="1:19" x14ac:dyDescent="0.3">
      <c r="A23" s="2">
        <v>45931</v>
      </c>
      <c r="B23" s="3" t="s">
        <v>12</v>
      </c>
      <c r="C23" s="3">
        <v>22852</v>
      </c>
      <c r="D23" s="8">
        <f>+'REGRESSION OUTPUT'!$B$17+MMULT(DATA!E23:P23,'REGRESSION OUTPUT'!$B$18:$B$29)</f>
        <v>22551.166666666661</v>
      </c>
      <c r="E23" s="4">
        <v>22</v>
      </c>
      <c r="F23" s="4">
        <f t="shared" si="1"/>
        <v>0</v>
      </c>
      <c r="G23" s="4">
        <f t="shared" si="1"/>
        <v>0</v>
      </c>
      <c r="H23" s="4">
        <f t="shared" si="1"/>
        <v>0</v>
      </c>
      <c r="I23" s="4">
        <f t="shared" si="1"/>
        <v>0</v>
      </c>
      <c r="J23" s="4">
        <f t="shared" si="1"/>
        <v>0</v>
      </c>
      <c r="K23" s="4">
        <f t="shared" si="1"/>
        <v>0</v>
      </c>
      <c r="L23" s="4">
        <f t="shared" si="1"/>
        <v>0</v>
      </c>
      <c r="M23" s="4">
        <f t="shared" si="1"/>
        <v>0</v>
      </c>
      <c r="N23" s="4">
        <f t="shared" si="1"/>
        <v>0</v>
      </c>
      <c r="O23" s="4">
        <f t="shared" si="1"/>
        <v>1</v>
      </c>
      <c r="P23" s="4">
        <f t="shared" si="1"/>
        <v>0</v>
      </c>
      <c r="R23">
        <v>22551.166666666661</v>
      </c>
      <c r="S23">
        <v>300.8333333333394</v>
      </c>
    </row>
    <row r="24" spans="1:19" x14ac:dyDescent="0.3">
      <c r="A24" s="2">
        <v>45962</v>
      </c>
      <c r="B24" s="3" t="s">
        <v>13</v>
      </c>
      <c r="C24" s="3">
        <v>24077</v>
      </c>
      <c r="D24" s="8">
        <f>+'REGRESSION OUTPUT'!$B$17+MMULT(DATA!E24:P24,'REGRESSION OUTPUT'!$B$18:$B$29)</f>
        <v>22052.666666666661</v>
      </c>
      <c r="E24" s="4">
        <v>23</v>
      </c>
      <c r="F24" s="4">
        <f t="shared" si="1"/>
        <v>0</v>
      </c>
      <c r="G24" s="4">
        <f t="shared" si="1"/>
        <v>0</v>
      </c>
      <c r="H24" s="4">
        <f t="shared" si="1"/>
        <v>0</v>
      </c>
      <c r="I24" s="4">
        <f t="shared" si="1"/>
        <v>0</v>
      </c>
      <c r="J24" s="4">
        <f t="shared" si="1"/>
        <v>0</v>
      </c>
      <c r="K24" s="4">
        <f t="shared" si="1"/>
        <v>0</v>
      </c>
      <c r="L24" s="4">
        <f t="shared" si="1"/>
        <v>0</v>
      </c>
      <c r="M24" s="4">
        <f t="shared" si="1"/>
        <v>0</v>
      </c>
      <c r="N24" s="4">
        <f t="shared" si="1"/>
        <v>0</v>
      </c>
      <c r="O24" s="4">
        <f t="shared" si="1"/>
        <v>0</v>
      </c>
      <c r="P24" s="4">
        <f t="shared" si="1"/>
        <v>1</v>
      </c>
      <c r="R24">
        <v>22052.666666666661</v>
      </c>
      <c r="S24">
        <v>2024.3333333333394</v>
      </c>
    </row>
    <row r="25" spans="1:19" ht="15" thickBot="1" x14ac:dyDescent="0.35">
      <c r="A25" s="2">
        <v>45992</v>
      </c>
      <c r="B25" s="3" t="s">
        <v>14</v>
      </c>
      <c r="C25" s="3">
        <v>24989</v>
      </c>
      <c r="D25" s="8">
        <f>+'REGRESSION OUTPUT'!$B$17+MMULT(DATA!E25:P25,'REGRESSION OUTPUT'!$B$18:$B$29)</f>
        <v>25650.666666666661</v>
      </c>
      <c r="E25" s="4">
        <v>24</v>
      </c>
      <c r="F25" s="4">
        <f t="shared" si="1"/>
        <v>0</v>
      </c>
      <c r="G25" s="4">
        <f t="shared" si="1"/>
        <v>0</v>
      </c>
      <c r="H25" s="4">
        <f t="shared" si="1"/>
        <v>0</v>
      </c>
      <c r="I25" s="4">
        <f t="shared" si="1"/>
        <v>0</v>
      </c>
      <c r="J25" s="4">
        <f t="shared" si="1"/>
        <v>0</v>
      </c>
      <c r="K25" s="4">
        <f t="shared" si="1"/>
        <v>0</v>
      </c>
      <c r="L25" s="4">
        <f t="shared" si="1"/>
        <v>0</v>
      </c>
      <c r="M25" s="4">
        <f t="shared" si="1"/>
        <v>0</v>
      </c>
      <c r="N25" s="4">
        <f t="shared" si="1"/>
        <v>0</v>
      </c>
      <c r="O25" s="4">
        <f t="shared" si="1"/>
        <v>0</v>
      </c>
      <c r="P25" s="4">
        <f t="shared" si="1"/>
        <v>0</v>
      </c>
      <c r="R25" s="5">
        <v>25650.666666666661</v>
      </c>
      <c r="S25" s="5">
        <v>-661.6666666666606</v>
      </c>
    </row>
    <row r="26" spans="1:19" x14ac:dyDescent="0.3">
      <c r="A26" s="2">
        <v>46023</v>
      </c>
      <c r="B26" s="3" t="s">
        <v>3</v>
      </c>
      <c r="C26" s="4"/>
      <c r="D26" s="8">
        <f>+'REGRESSION OUTPUT'!$B$17+MMULT(DATA!E26:P26,'REGRESSION OUTPUT'!$B$18:$B$29)</f>
        <v>21496.499999999993</v>
      </c>
      <c r="E26" s="4">
        <v>25</v>
      </c>
      <c r="F26" s="4">
        <f t="shared" si="1"/>
        <v>1</v>
      </c>
      <c r="G26" s="4">
        <f t="shared" si="1"/>
        <v>0</v>
      </c>
      <c r="H26" s="4">
        <f t="shared" si="1"/>
        <v>0</v>
      </c>
      <c r="I26" s="4">
        <f t="shared" si="1"/>
        <v>0</v>
      </c>
      <c r="J26" s="4">
        <f t="shared" si="1"/>
        <v>0</v>
      </c>
      <c r="K26" s="4">
        <f t="shared" si="1"/>
        <v>0</v>
      </c>
      <c r="L26" s="4">
        <f t="shared" si="1"/>
        <v>0</v>
      </c>
      <c r="M26" s="4">
        <f t="shared" si="1"/>
        <v>0</v>
      </c>
      <c r="N26" s="4">
        <f t="shared" si="1"/>
        <v>0</v>
      </c>
      <c r="O26" s="4">
        <f t="shared" si="1"/>
        <v>0</v>
      </c>
      <c r="P26" s="4">
        <f t="shared" si="1"/>
        <v>0</v>
      </c>
    </row>
    <row r="27" spans="1:19" x14ac:dyDescent="0.3">
      <c r="A27" s="2">
        <v>46054</v>
      </c>
      <c r="B27" s="3" t="s">
        <v>4</v>
      </c>
      <c r="C27" s="4"/>
      <c r="D27" s="8">
        <f>+'REGRESSION OUTPUT'!$B$17+MMULT(DATA!E27:P27,'REGRESSION OUTPUT'!$B$18:$B$29)</f>
        <v>25319.999999999993</v>
      </c>
      <c r="E27" s="4">
        <v>26</v>
      </c>
      <c r="F27" s="4">
        <f t="shared" si="1"/>
        <v>0</v>
      </c>
      <c r="G27" s="4">
        <f t="shared" si="1"/>
        <v>1</v>
      </c>
      <c r="H27" s="4">
        <f t="shared" si="1"/>
        <v>0</v>
      </c>
      <c r="I27" s="4">
        <f t="shared" si="1"/>
        <v>0</v>
      </c>
      <c r="J27" s="4">
        <f t="shared" si="1"/>
        <v>0</v>
      </c>
      <c r="K27" s="4">
        <f t="shared" si="1"/>
        <v>0</v>
      </c>
      <c r="L27" s="4">
        <f t="shared" si="1"/>
        <v>0</v>
      </c>
      <c r="M27" s="4">
        <f t="shared" si="1"/>
        <v>0</v>
      </c>
      <c r="N27" s="4">
        <f t="shared" si="1"/>
        <v>0</v>
      </c>
      <c r="O27" s="4">
        <f t="shared" si="1"/>
        <v>0</v>
      </c>
      <c r="P27" s="4">
        <f t="shared" si="1"/>
        <v>0</v>
      </c>
    </row>
    <row r="28" spans="1:19" x14ac:dyDescent="0.3">
      <c r="A28" s="2">
        <v>46082</v>
      </c>
      <c r="B28" s="3" t="s">
        <v>5</v>
      </c>
      <c r="C28" s="4"/>
      <c r="D28" s="8">
        <f>+'REGRESSION OUTPUT'!$B$17+MMULT(DATA!E28:P28,'REGRESSION OUTPUT'!$B$18:$B$29)</f>
        <v>22847.999999999993</v>
      </c>
      <c r="E28" s="4">
        <v>27</v>
      </c>
      <c r="F28" s="4">
        <f t="shared" si="1"/>
        <v>0</v>
      </c>
      <c r="G28" s="4">
        <f t="shared" si="1"/>
        <v>0</v>
      </c>
      <c r="H28" s="4">
        <f t="shared" si="1"/>
        <v>1</v>
      </c>
      <c r="I28" s="4">
        <f t="shared" si="1"/>
        <v>0</v>
      </c>
      <c r="J28" s="4">
        <f t="shared" si="1"/>
        <v>0</v>
      </c>
      <c r="K28" s="4">
        <f t="shared" si="1"/>
        <v>0</v>
      </c>
      <c r="L28" s="4">
        <f t="shared" si="1"/>
        <v>0</v>
      </c>
      <c r="M28" s="4">
        <f t="shared" si="1"/>
        <v>0</v>
      </c>
      <c r="N28" s="4">
        <f t="shared" si="1"/>
        <v>0</v>
      </c>
      <c r="O28" s="4">
        <f t="shared" si="1"/>
        <v>0</v>
      </c>
      <c r="P28" s="4">
        <f t="shared" si="1"/>
        <v>0</v>
      </c>
    </row>
    <row r="29" spans="1:19" x14ac:dyDescent="0.3">
      <c r="A29" s="2">
        <v>46113</v>
      </c>
      <c r="B29" s="3" t="s">
        <v>6</v>
      </c>
      <c r="C29" s="4"/>
      <c r="D29" s="8">
        <f>+'REGRESSION OUTPUT'!$B$17+MMULT(DATA!E29:P29,'REGRESSION OUTPUT'!$B$18:$B$29)</f>
        <v>26990.999999999993</v>
      </c>
      <c r="E29" s="4">
        <v>28</v>
      </c>
      <c r="F29" s="4">
        <f t="shared" si="1"/>
        <v>0</v>
      </c>
      <c r="G29" s="4">
        <f t="shared" si="1"/>
        <v>0</v>
      </c>
      <c r="H29" s="4">
        <f t="shared" si="1"/>
        <v>0</v>
      </c>
      <c r="I29" s="4">
        <f t="shared" si="1"/>
        <v>1</v>
      </c>
      <c r="J29" s="4">
        <f t="shared" si="1"/>
        <v>0</v>
      </c>
      <c r="K29" s="4">
        <f t="shared" si="1"/>
        <v>0</v>
      </c>
      <c r="L29" s="4">
        <f t="shared" si="1"/>
        <v>0</v>
      </c>
      <c r="M29" s="4">
        <f t="shared" si="1"/>
        <v>0</v>
      </c>
      <c r="N29" s="4">
        <f t="shared" si="1"/>
        <v>0</v>
      </c>
      <c r="O29" s="4">
        <f t="shared" si="1"/>
        <v>0</v>
      </c>
      <c r="P29" s="4">
        <f t="shared" si="1"/>
        <v>0</v>
      </c>
    </row>
    <row r="30" spans="1:19" x14ac:dyDescent="0.3">
      <c r="A30" s="2">
        <v>46143</v>
      </c>
      <c r="B30" s="3" t="s">
        <v>7</v>
      </c>
      <c r="C30" s="4"/>
      <c r="D30" s="8">
        <f>+'REGRESSION OUTPUT'!$B$17+MMULT(DATA!E30:P30,'REGRESSION OUTPUT'!$B$18:$B$29)</f>
        <v>26048.999999999993</v>
      </c>
      <c r="E30" s="4">
        <v>29</v>
      </c>
      <c r="F30" s="4">
        <f t="shared" si="1"/>
        <v>0</v>
      </c>
      <c r="G30" s="4">
        <f t="shared" si="1"/>
        <v>0</v>
      </c>
      <c r="H30" s="4">
        <f t="shared" si="1"/>
        <v>0</v>
      </c>
      <c r="I30" s="4">
        <f t="shared" si="1"/>
        <v>0</v>
      </c>
      <c r="J30" s="4">
        <f t="shared" si="1"/>
        <v>1</v>
      </c>
      <c r="K30" s="4">
        <f t="shared" si="1"/>
        <v>0</v>
      </c>
      <c r="L30" s="4">
        <f t="shared" si="1"/>
        <v>0</v>
      </c>
      <c r="M30" s="4">
        <f t="shared" si="1"/>
        <v>0</v>
      </c>
      <c r="N30" s="4">
        <f t="shared" si="1"/>
        <v>0</v>
      </c>
      <c r="O30" s="4">
        <f t="shared" si="1"/>
        <v>0</v>
      </c>
      <c r="P30" s="4">
        <f t="shared" si="1"/>
        <v>0</v>
      </c>
    </row>
    <row r="31" spans="1:19" x14ac:dyDescent="0.3">
      <c r="A31" s="2">
        <v>46174</v>
      </c>
      <c r="B31" s="3" t="s">
        <v>8</v>
      </c>
      <c r="C31" s="4"/>
      <c r="D31" s="8">
        <f>+'REGRESSION OUTPUT'!$B$17+MMULT(DATA!E31:P31,'REGRESSION OUTPUT'!$B$18:$B$29)</f>
        <v>25131.499999999993</v>
      </c>
      <c r="E31" s="4">
        <v>30</v>
      </c>
      <c r="F31" s="4">
        <f t="shared" si="1"/>
        <v>0</v>
      </c>
      <c r="G31" s="4">
        <f t="shared" si="1"/>
        <v>0</v>
      </c>
      <c r="H31" s="4">
        <f t="shared" si="1"/>
        <v>0</v>
      </c>
      <c r="I31" s="4">
        <f t="shared" si="1"/>
        <v>0</v>
      </c>
      <c r="J31" s="4">
        <f t="shared" si="1"/>
        <v>0</v>
      </c>
      <c r="K31" s="4">
        <f t="shared" si="1"/>
        <v>1</v>
      </c>
      <c r="L31" s="4">
        <f t="shared" si="1"/>
        <v>0</v>
      </c>
      <c r="M31" s="4">
        <f t="shared" si="1"/>
        <v>0</v>
      </c>
      <c r="N31" s="4">
        <f t="shared" si="1"/>
        <v>0</v>
      </c>
      <c r="O31" s="4">
        <f t="shared" si="1"/>
        <v>0</v>
      </c>
      <c r="P31" s="4">
        <f t="shared" si="1"/>
        <v>0</v>
      </c>
    </row>
    <row r="32" spans="1:19" x14ac:dyDescent="0.3">
      <c r="A32" s="2">
        <v>46204</v>
      </c>
      <c r="B32" s="3" t="s">
        <v>9</v>
      </c>
      <c r="C32" s="4"/>
      <c r="D32" s="8">
        <f>+'REGRESSION OUTPUT'!$B$17+MMULT(DATA!E32:P32,'REGRESSION OUTPUT'!$B$18:$B$29)</f>
        <v>24365.999999999993</v>
      </c>
      <c r="E32" s="4">
        <v>31</v>
      </c>
      <c r="F32" s="4">
        <f t="shared" si="1"/>
        <v>0</v>
      </c>
      <c r="G32" s="4">
        <f t="shared" si="1"/>
        <v>0</v>
      </c>
      <c r="H32" s="4">
        <f t="shared" si="1"/>
        <v>0</v>
      </c>
      <c r="I32" s="4">
        <f t="shared" si="1"/>
        <v>0</v>
      </c>
      <c r="J32" s="4">
        <f t="shared" si="1"/>
        <v>0</v>
      </c>
      <c r="K32" s="4">
        <f t="shared" si="1"/>
        <v>0</v>
      </c>
      <c r="L32" s="4">
        <f t="shared" si="1"/>
        <v>1</v>
      </c>
      <c r="M32" s="4">
        <f t="shared" si="1"/>
        <v>0</v>
      </c>
      <c r="N32" s="4">
        <f t="shared" si="1"/>
        <v>0</v>
      </c>
      <c r="O32" s="4">
        <f t="shared" si="1"/>
        <v>0</v>
      </c>
      <c r="P32" s="4">
        <f t="shared" si="1"/>
        <v>0</v>
      </c>
    </row>
    <row r="33" spans="1:16" x14ac:dyDescent="0.3">
      <c r="A33" s="2">
        <v>46235</v>
      </c>
      <c r="B33" s="3" t="s">
        <v>10</v>
      </c>
      <c r="C33" s="4"/>
      <c r="D33" s="8">
        <f>+'REGRESSION OUTPUT'!$B$17+MMULT(DATA!E33:P33,'REGRESSION OUTPUT'!$B$18:$B$29)</f>
        <v>26867.999999999993</v>
      </c>
      <c r="E33" s="4">
        <v>32</v>
      </c>
      <c r="F33" s="4">
        <f t="shared" si="1"/>
        <v>0</v>
      </c>
      <c r="G33" s="4">
        <f t="shared" si="1"/>
        <v>0</v>
      </c>
      <c r="H33" s="4">
        <f t="shared" si="1"/>
        <v>0</v>
      </c>
      <c r="I33" s="4">
        <f t="shared" si="1"/>
        <v>0</v>
      </c>
      <c r="J33" s="4">
        <f t="shared" si="1"/>
        <v>0</v>
      </c>
      <c r="K33" s="4">
        <f t="shared" si="1"/>
        <v>0</v>
      </c>
      <c r="L33" s="4">
        <f t="shared" si="1"/>
        <v>0</v>
      </c>
      <c r="M33" s="4">
        <f t="shared" si="1"/>
        <v>1</v>
      </c>
      <c r="N33" s="4">
        <f t="shared" si="1"/>
        <v>0</v>
      </c>
      <c r="O33" s="4">
        <f t="shared" si="1"/>
        <v>0</v>
      </c>
      <c r="P33" s="4">
        <f t="shared" si="1"/>
        <v>0</v>
      </c>
    </row>
    <row r="34" spans="1:16" x14ac:dyDescent="0.3">
      <c r="A34" s="2">
        <v>46266</v>
      </c>
      <c r="B34" s="3" t="s">
        <v>11</v>
      </c>
      <c r="C34" s="4"/>
      <c r="D34" s="8">
        <f>+'REGRESSION OUTPUT'!$B$17+MMULT(DATA!E34:P34,'REGRESSION OUTPUT'!$B$18:$B$29)</f>
        <v>21650.499999999993</v>
      </c>
      <c r="E34" s="4">
        <v>33</v>
      </c>
      <c r="F34" s="4">
        <f t="shared" si="1"/>
        <v>0</v>
      </c>
      <c r="G34" s="4">
        <f t="shared" si="1"/>
        <v>0</v>
      </c>
      <c r="H34" s="4">
        <f t="shared" si="1"/>
        <v>0</v>
      </c>
      <c r="I34" s="4">
        <f t="shared" si="1"/>
        <v>0</v>
      </c>
      <c r="J34" s="4">
        <f t="shared" si="1"/>
        <v>0</v>
      </c>
      <c r="K34" s="4">
        <f t="shared" si="1"/>
        <v>0</v>
      </c>
      <c r="L34" s="4">
        <f t="shared" si="1"/>
        <v>0</v>
      </c>
      <c r="M34" s="4">
        <f t="shared" si="1"/>
        <v>0</v>
      </c>
      <c r="N34" s="4">
        <f t="shared" si="1"/>
        <v>1</v>
      </c>
      <c r="O34" s="4">
        <f t="shared" si="1"/>
        <v>0</v>
      </c>
      <c r="P34" s="4">
        <f t="shared" si="1"/>
        <v>0</v>
      </c>
    </row>
    <row r="35" spans="1:16" x14ac:dyDescent="0.3">
      <c r="A35" s="2">
        <v>46296</v>
      </c>
      <c r="B35" s="3" t="s">
        <v>12</v>
      </c>
      <c r="C35" s="4"/>
      <c r="D35" s="8">
        <f>+'REGRESSION OUTPUT'!$B$17+MMULT(DATA!E35:P35,'REGRESSION OUTPUT'!$B$18:$B$29)</f>
        <v>22059.499999999993</v>
      </c>
      <c r="E35" s="4">
        <v>34</v>
      </c>
      <c r="F35" s="4">
        <f t="shared" si="1"/>
        <v>0</v>
      </c>
      <c r="G35" s="4">
        <f t="shared" si="1"/>
        <v>0</v>
      </c>
      <c r="H35" s="4">
        <f t="shared" si="1"/>
        <v>0</v>
      </c>
      <c r="I35" s="4">
        <f t="shared" si="1"/>
        <v>0</v>
      </c>
      <c r="J35" s="4">
        <f t="shared" si="1"/>
        <v>0</v>
      </c>
      <c r="K35" s="4">
        <f t="shared" si="1"/>
        <v>0</v>
      </c>
      <c r="L35" s="4">
        <f t="shared" si="1"/>
        <v>0</v>
      </c>
      <c r="M35" s="4">
        <f t="shared" si="1"/>
        <v>0</v>
      </c>
      <c r="N35" s="4">
        <f t="shared" si="1"/>
        <v>0</v>
      </c>
      <c r="O35" s="4">
        <f t="shared" si="1"/>
        <v>1</v>
      </c>
      <c r="P35" s="4">
        <f t="shared" si="1"/>
        <v>0</v>
      </c>
    </row>
    <row r="36" spans="1:16" x14ac:dyDescent="0.3">
      <c r="A36" s="2">
        <v>46327</v>
      </c>
      <c r="B36" s="3" t="s">
        <v>13</v>
      </c>
      <c r="C36" s="4"/>
      <c r="D36" s="8">
        <f>+'REGRESSION OUTPUT'!$B$17+MMULT(DATA!E36:P36,'REGRESSION OUTPUT'!$B$18:$B$29)</f>
        <v>21560.999999999993</v>
      </c>
      <c r="E36" s="4">
        <v>35</v>
      </c>
      <c r="F36" s="4">
        <f t="shared" si="1"/>
        <v>0</v>
      </c>
      <c r="G36" s="4">
        <f t="shared" si="1"/>
        <v>0</v>
      </c>
      <c r="H36" s="4">
        <f t="shared" si="1"/>
        <v>0</v>
      </c>
      <c r="I36" s="4">
        <f t="shared" si="1"/>
        <v>0</v>
      </c>
      <c r="J36" s="4">
        <f t="shared" si="1"/>
        <v>0</v>
      </c>
      <c r="K36" s="4">
        <f t="shared" si="1"/>
        <v>0</v>
      </c>
      <c r="L36" s="4">
        <f t="shared" si="1"/>
        <v>0</v>
      </c>
      <c r="M36" s="4">
        <f t="shared" si="1"/>
        <v>0</v>
      </c>
      <c r="N36" s="4">
        <f t="shared" si="1"/>
        <v>0</v>
      </c>
      <c r="O36" s="4">
        <f t="shared" si="1"/>
        <v>0</v>
      </c>
      <c r="P36" s="4">
        <f t="shared" si="1"/>
        <v>1</v>
      </c>
    </row>
    <row r="37" spans="1:16" x14ac:dyDescent="0.3">
      <c r="A37" s="2">
        <v>46357</v>
      </c>
      <c r="B37" s="3" t="s">
        <v>14</v>
      </c>
      <c r="C37" s="4"/>
      <c r="D37" s="8">
        <f>+'REGRESSION OUTPUT'!$B$17+MMULT(DATA!E37:P37,'REGRESSION OUTPUT'!$B$18:$B$29)</f>
        <v>25158.999999999993</v>
      </c>
      <c r="E37" s="4">
        <v>36</v>
      </c>
      <c r="F37" s="4">
        <f t="shared" si="1"/>
        <v>0</v>
      </c>
      <c r="G37" s="4">
        <f t="shared" si="1"/>
        <v>0</v>
      </c>
      <c r="H37" s="4">
        <f t="shared" si="1"/>
        <v>0</v>
      </c>
      <c r="I37" s="4">
        <f t="shared" si="1"/>
        <v>0</v>
      </c>
      <c r="J37" s="4">
        <f t="shared" si="1"/>
        <v>0</v>
      </c>
      <c r="K37" s="4">
        <f t="shared" si="1"/>
        <v>0</v>
      </c>
      <c r="L37" s="4">
        <f t="shared" si="1"/>
        <v>0</v>
      </c>
      <c r="M37" s="4">
        <f t="shared" si="1"/>
        <v>0</v>
      </c>
      <c r="N37" s="4">
        <f t="shared" si="1"/>
        <v>0</v>
      </c>
      <c r="O37" s="4">
        <f t="shared" si="1"/>
        <v>0</v>
      </c>
      <c r="P37" s="4">
        <f t="shared" si="1"/>
        <v>0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A64AE-A206-40A5-BA8A-0AAA478874D0}">
  <dimension ref="A1"/>
  <sheetViews>
    <sheetView showGridLines="0" tabSelected="1" workbookViewId="0">
      <selection activeCell="C18" sqref="C18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REGRESSION OUTPUT</vt:lpstr>
      <vt:lpstr>DATA</vt:lpstr>
      <vt:lpstr>GRAPH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NIMAH MAJEED</dc:creator>
  <cp:lastModifiedBy>NIMAH MAJEED</cp:lastModifiedBy>
  <dcterms:created xsi:type="dcterms:W3CDTF">2024-10-22T11:12:11Z</dcterms:created>
  <dcterms:modified xsi:type="dcterms:W3CDTF">2026-01-02T15:56:59Z</dcterms:modified>
</cp:coreProperties>
</file>